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4_{D1C39A78-10A5-4749-BEBA-B37EFF8BAA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S 2025" sheetId="7" r:id="rId1"/>
    <sheet name="JAN 2026" sheetId="5" r:id="rId2"/>
    <sheet name="FEB 2026" sheetId="8" r:id="rId3"/>
  </sheets>
  <definedNames>
    <definedName name="JR_PAGE_ANCHOR_0_1">#REF!</definedName>
  </definedNames>
  <calcPr calcId="191029"/>
</workbook>
</file>

<file path=xl/calcChain.xml><?xml version="1.0" encoding="utf-8"?>
<calcChain xmlns="http://schemas.openxmlformats.org/spreadsheetml/2006/main">
  <c r="G282" i="5" l="1"/>
  <c r="G41" i="8"/>
  <c r="G39" i="8"/>
  <c r="G279" i="5"/>
  <c r="G277" i="5"/>
  <c r="G275" i="5"/>
  <c r="G233" i="5"/>
  <c r="G235" i="5" s="1"/>
  <c r="G196" i="5"/>
  <c r="G198" i="5" s="1"/>
  <c r="G200" i="5" s="1"/>
  <c r="G168" i="5"/>
  <c r="G170" i="5" s="1"/>
  <c r="G172" i="5" s="1"/>
  <c r="G180" i="7"/>
  <c r="G182" i="7" s="1"/>
  <c r="G75" i="7"/>
  <c r="G77" i="7" s="1"/>
  <c r="A6" i="5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E46" i="5"/>
  <c r="G46" i="5" s="1"/>
  <c r="G48" i="5" s="1"/>
  <c r="G111" i="5" s="1"/>
  <c r="G113" i="5" s="1"/>
  <c r="G115" i="5" s="1"/>
</calcChain>
</file>

<file path=xl/sharedStrings.xml><?xml version="1.0" encoding="utf-8"?>
<sst xmlns="http://schemas.openxmlformats.org/spreadsheetml/2006/main" count="1798" uniqueCount="747">
  <si>
    <t>Dari 26 Des 2025 s/d 04 Jan 2026</t>
  </si>
  <si>
    <t>Tanggal</t>
  </si>
  <si>
    <t>Pelanggan</t>
  </si>
  <si>
    <t>Total</t>
  </si>
  <si>
    <t xml:space="preserve">Nama Penjual </t>
  </si>
  <si>
    <t>No. PO</t>
  </si>
  <si>
    <t>SHOPEE</t>
  </si>
  <si>
    <t>2512.INV.03789</t>
  </si>
  <si>
    <t>ONLINE</t>
  </si>
  <si>
    <t>251228HYQD9609</t>
  </si>
  <si>
    <t>2512.INV.03790</t>
  </si>
  <si>
    <t>251228HSP8GBD1</t>
  </si>
  <si>
    <t>2512.INV.03791</t>
  </si>
  <si>
    <t>251228GS93PY1H</t>
  </si>
  <si>
    <t>2512.INV.03788</t>
  </si>
  <si>
    <t>251229KBW0XJX4</t>
  </si>
  <si>
    <t>2512.INV.03792</t>
  </si>
  <si>
    <t>251229KHREK2WJ</t>
  </si>
  <si>
    <t>2512.INV.03795</t>
  </si>
  <si>
    <t>251229KRY8S72M</t>
  </si>
  <si>
    <t>2512.INV.03800</t>
  </si>
  <si>
    <t>251229M3Y1WPP9</t>
  </si>
  <si>
    <t>2512.INV.03805</t>
  </si>
  <si>
    <t>251230NSJSYATY</t>
  </si>
  <si>
    <t>2512.INV.03806</t>
  </si>
  <si>
    <t>251229MC3TMD7Q</t>
  </si>
  <si>
    <t>2512.INV.03807</t>
  </si>
  <si>
    <t>251229KKM2VSA1</t>
  </si>
  <si>
    <t>2512.INV.03809</t>
  </si>
  <si>
    <t>251230P4Q9U1Q0</t>
  </si>
  <si>
    <t>2512.INV.03817</t>
  </si>
  <si>
    <t>251230PKKATJ7D</t>
  </si>
  <si>
    <t>2512.INV.03821</t>
  </si>
  <si>
    <t>251231R9BB6JSV</t>
  </si>
  <si>
    <t>2512.INV.03822</t>
  </si>
  <si>
    <t>251231R6YACN4C</t>
  </si>
  <si>
    <t>2512.INV.03823</t>
  </si>
  <si>
    <t>251231RS4TFXSV</t>
  </si>
  <si>
    <t>2512.INV.03825</t>
  </si>
  <si>
    <t>251231S15KC3N8</t>
  </si>
  <si>
    <t>2601.INV.03830</t>
  </si>
  <si>
    <t>260101V5FA1UWH</t>
  </si>
  <si>
    <t>2601.INV.03831</t>
  </si>
  <si>
    <t>260101TT3QVYHU</t>
  </si>
  <si>
    <t>2601.INV.03832</t>
  </si>
  <si>
    <t>260101V40DWJYD</t>
  </si>
  <si>
    <t>2601.INV.03826</t>
  </si>
  <si>
    <t>260102VVVK9Q4C</t>
  </si>
  <si>
    <t>2601.INV.03827</t>
  </si>
  <si>
    <t>260101UEXFJSYA</t>
  </si>
  <si>
    <t>2601.INV.03828</t>
  </si>
  <si>
    <t>260101TBYW8UH0</t>
  </si>
  <si>
    <t>2601.INV.03829</t>
  </si>
  <si>
    <t>26010206T53MHD</t>
  </si>
  <si>
    <t>2601.INV.03836</t>
  </si>
  <si>
    <t>2601020F0P0K6N</t>
  </si>
  <si>
    <t>2601.INV.03847</t>
  </si>
  <si>
    <t>260102104DME9G</t>
  </si>
  <si>
    <t>2601.INV.03848</t>
  </si>
  <si>
    <t>2601020YY0YFHK</t>
  </si>
  <si>
    <t>2601.INV.03851</t>
  </si>
  <si>
    <t>2601032X8EAU1A</t>
  </si>
  <si>
    <t>2601.INV.03852</t>
  </si>
  <si>
    <t>26010333N4VGTG</t>
  </si>
  <si>
    <t>2601.INV.03854</t>
  </si>
  <si>
    <t>26010336N6KK3M</t>
  </si>
  <si>
    <t>2601.INV.03856</t>
  </si>
  <si>
    <t>26010571TD8KKM</t>
  </si>
  <si>
    <t>2601.INV.03858</t>
  </si>
  <si>
    <t>26010459K35RG3</t>
  </si>
  <si>
    <t>2601.INV.03859</t>
  </si>
  <si>
    <t>2601045C58DT2J</t>
  </si>
  <si>
    <t>TIKTOK SHOP</t>
  </si>
  <si>
    <t>2512.INV.03798</t>
  </si>
  <si>
    <t>581872832892798962</t>
  </si>
  <si>
    <t>2512.INV.03801</t>
  </si>
  <si>
    <t>581873387781850949</t>
  </si>
  <si>
    <t>2512.INV.03804</t>
  </si>
  <si>
    <t>581874704269542639</t>
  </si>
  <si>
    <t>2512.INV.03811</t>
  </si>
  <si>
    <t>581883918232094683</t>
  </si>
  <si>
    <t>2512.INV.03833</t>
  </si>
  <si>
    <t>581900790963209792</t>
  </si>
  <si>
    <t>2601.INV.03834</t>
  </si>
  <si>
    <t>581909128261240682</t>
  </si>
  <si>
    <t>2601.INV.03838</t>
  </si>
  <si>
    <t>581923086456096099</t>
  </si>
  <si>
    <t>2601.INV.03853</t>
  </si>
  <si>
    <t>581939375720727703</t>
  </si>
  <si>
    <t>2601.INV.03855</t>
  </si>
  <si>
    <t>581955332867261842</t>
  </si>
  <si>
    <t>2512.INV.03723</t>
  </si>
  <si>
    <t>251218PEED81W6</t>
  </si>
  <si>
    <t>2512.INV.03724</t>
  </si>
  <si>
    <t>251218P9G825KB</t>
  </si>
  <si>
    <t>2512.INV.03725</t>
  </si>
  <si>
    <t>251218P99EJRJN</t>
  </si>
  <si>
    <t>2512.INV.03726</t>
  </si>
  <si>
    <t>251218P6YCR7SX</t>
  </si>
  <si>
    <t>2512.INV.03727</t>
  </si>
  <si>
    <t>251219QF3V4SFR</t>
  </si>
  <si>
    <t>2512.INV.03728</t>
  </si>
  <si>
    <t>251219QNTP53PB</t>
  </si>
  <si>
    <t>2512.INV.03737</t>
  </si>
  <si>
    <t>251219RR16TEQ2</t>
  </si>
  <si>
    <t>2512.INV.03738</t>
  </si>
  <si>
    <t>251219RQM9WTUD</t>
  </si>
  <si>
    <t>2512.INV.03750</t>
  </si>
  <si>
    <t>251220TH7HQSFJ</t>
  </si>
  <si>
    <t>2512.INV.03751</t>
  </si>
  <si>
    <t>2512210VYYQYKU</t>
  </si>
  <si>
    <t>2512.INV.03752</t>
  </si>
  <si>
    <t>2512210TWQQB62</t>
  </si>
  <si>
    <t>2512.INV.03753</t>
  </si>
  <si>
    <t>2512210GH9H02B</t>
  </si>
  <si>
    <t>2512.INV.03754</t>
  </si>
  <si>
    <t>2512210EJVER5M</t>
  </si>
  <si>
    <t>2512.INV.03755</t>
  </si>
  <si>
    <t>251221VEXT9469</t>
  </si>
  <si>
    <t>2512.INV.03756</t>
  </si>
  <si>
    <t>251221V1AWTV3Q</t>
  </si>
  <si>
    <t>2512.INV.03757</t>
  </si>
  <si>
    <t>251220UAUQQT7D</t>
  </si>
  <si>
    <t>2512.INV.03758</t>
  </si>
  <si>
    <t>251220TMUKARAE</t>
  </si>
  <si>
    <t>2512.INV.03762</t>
  </si>
  <si>
    <t>25122229THS4Y7</t>
  </si>
  <si>
    <t>2512.INV.03765</t>
  </si>
  <si>
    <t>2512222T9PE1XS</t>
  </si>
  <si>
    <t>2512.INV.03770</t>
  </si>
  <si>
    <t>2512234PBJY2JW</t>
  </si>
  <si>
    <t>2512.INV.03778</t>
  </si>
  <si>
    <t>2512235RYA39KS</t>
  </si>
  <si>
    <t>2512.INV.03779</t>
  </si>
  <si>
    <t>2512235P9HCKHS</t>
  </si>
  <si>
    <t>2512.INV.03780</t>
  </si>
  <si>
    <t>25122356VSBW5X</t>
  </si>
  <si>
    <t>2512.INV.03787</t>
  </si>
  <si>
    <t>2512247NNTHWKD</t>
  </si>
  <si>
    <t>2601.INV.03857</t>
  </si>
  <si>
    <t>2601057TG4NVE0</t>
  </si>
  <si>
    <t>2601.INV.03867</t>
  </si>
  <si>
    <t>2601058A8735D3</t>
  </si>
  <si>
    <t>2601.INV.03868</t>
  </si>
  <si>
    <t>2601058H9NPM0D</t>
  </si>
  <si>
    <t>2601.INV.03877</t>
  </si>
  <si>
    <t>2601069KPR4G38</t>
  </si>
  <si>
    <t>2601.INV.03878</t>
  </si>
  <si>
    <t>2601069KN9BWQG</t>
  </si>
  <si>
    <t>2601.INV03864</t>
  </si>
  <si>
    <t>26010587GVVVJD</t>
  </si>
  <si>
    <t>2601.INV.03875</t>
  </si>
  <si>
    <t>260106ABAFDCB8</t>
  </si>
  <si>
    <t>2601.INV.03876</t>
  </si>
  <si>
    <t>2601069MUXBSMQ</t>
  </si>
  <si>
    <t>2601.INV.03879</t>
  </si>
  <si>
    <t>260106AESEWSGK</t>
  </si>
  <si>
    <t>2601.INV.03881</t>
  </si>
  <si>
    <t>260106AMFSF2R6</t>
  </si>
  <si>
    <t>2601.INV.03885</t>
  </si>
  <si>
    <t>260106AUUD6NH1</t>
  </si>
  <si>
    <t>2601.INV.03893</t>
  </si>
  <si>
    <t>260106B8G36EDX</t>
  </si>
  <si>
    <t>2601.INV.03895</t>
  </si>
  <si>
    <t>260106B97B2CJ3</t>
  </si>
  <si>
    <t>2601.INV.03898</t>
  </si>
  <si>
    <t>260107C642JV5M</t>
  </si>
  <si>
    <t>2601.INV.03900</t>
  </si>
  <si>
    <t>260107D13VU3YR</t>
  </si>
  <si>
    <t>2512.INV.03734</t>
  </si>
  <si>
    <t>581724173502743932</t>
  </si>
  <si>
    <t>2512.INV.03739</t>
  </si>
  <si>
    <t>581735260269675814</t>
  </si>
  <si>
    <t>2512.INV.03759</t>
  </si>
  <si>
    <t>581738578544002320</t>
  </si>
  <si>
    <t>2512.INV.03760</t>
  </si>
  <si>
    <t>581738572927435784</t>
  </si>
  <si>
    <t>2512.INV.03766</t>
  </si>
  <si>
    <t>581780549661525951</t>
  </si>
  <si>
    <t>2512.INV.03768</t>
  </si>
  <si>
    <t>581782463401658366</t>
  </si>
  <si>
    <t>2512.INV.03781</t>
  </si>
  <si>
    <t>581795396358866568</t>
  </si>
  <si>
    <t>2512.INV.03785</t>
  </si>
  <si>
    <t>581799512311498304</t>
  </si>
  <si>
    <t>2601.INV.03869</t>
  </si>
  <si>
    <t>581974531060040979</t>
  </si>
  <si>
    <t>2601.INV.03871</t>
  </si>
  <si>
    <t>581975838416405644</t>
  </si>
  <si>
    <t>2601.INV.03872</t>
  </si>
  <si>
    <t>581975618214331979</t>
  </si>
  <si>
    <t>2601.INV.03873</t>
  </si>
  <si>
    <t>581980640630965835</t>
  </si>
  <si>
    <t>2601.INV.03874</t>
  </si>
  <si>
    <t>581982724981359895</t>
  </si>
  <si>
    <t>2601.INV.03880</t>
  </si>
  <si>
    <t>581984951881532642</t>
  </si>
  <si>
    <t>2601.INV.03899</t>
  </si>
  <si>
    <t>581996463003698262</t>
  </si>
  <si>
    <t>2601.INV.03901</t>
  </si>
  <si>
    <t>582000503316252350</t>
  </si>
  <si>
    <t>Dari 19 Des 2025 s/d 25 Des 2025</t>
  </si>
  <si>
    <t>No</t>
  </si>
  <si>
    <t>Invoice</t>
  </si>
  <si>
    <t>Total Penjualan:</t>
  </si>
  <si>
    <t>2511.INV.03380</t>
  </si>
  <si>
    <t>2511305TEKGXT7</t>
  </si>
  <si>
    <t>2511.INV.03382</t>
  </si>
  <si>
    <t>2511306AB9UMPR</t>
  </si>
  <si>
    <t>2511.INV.03383</t>
  </si>
  <si>
    <t>2511305R06F9HJ</t>
  </si>
  <si>
    <t>2511.INV.03384</t>
  </si>
  <si>
    <t>2511305N0SR0PH</t>
  </si>
  <si>
    <t>2511.INV.03385</t>
  </si>
  <si>
    <t>2511305C9TCXAD</t>
  </si>
  <si>
    <t>2511.INV.03386</t>
  </si>
  <si>
    <t>2511304VQ2NUDS</t>
  </si>
  <si>
    <t>2512.INV.03381</t>
  </si>
  <si>
    <t>25120175RM1U7N</t>
  </si>
  <si>
    <t>2512.INV.03393</t>
  </si>
  <si>
    <t>2512017928UQTD</t>
  </si>
  <si>
    <t>2512.INV.03394</t>
  </si>
  <si>
    <t>2512017BR0HKG9</t>
  </si>
  <si>
    <t>2512.INV.03395</t>
  </si>
  <si>
    <t>2512017B4D1DJW</t>
  </si>
  <si>
    <t>2512.INV.03397</t>
  </si>
  <si>
    <t>2512017DKADVFT</t>
  </si>
  <si>
    <t>2512.INV.03402</t>
  </si>
  <si>
    <t>2512017G1QEYY2</t>
  </si>
  <si>
    <t>2512.INV.03403</t>
  </si>
  <si>
    <t>2512017J6HHN3K</t>
  </si>
  <si>
    <t>2512.INV.03405</t>
  </si>
  <si>
    <t>2512017QNFK21D</t>
  </si>
  <si>
    <t>2512.INV.03407</t>
  </si>
  <si>
    <t>2512017WK6ND2Y</t>
  </si>
  <si>
    <t>2512.INV.03408</t>
  </si>
  <si>
    <t>25120182W6EST7</t>
  </si>
  <si>
    <t>2512.INV.03413</t>
  </si>
  <si>
    <t>2512028VXCA75V</t>
  </si>
  <si>
    <t>2512.INV.03414</t>
  </si>
  <si>
    <t>2512018U11M6FQ</t>
  </si>
  <si>
    <t>2512.INV.03415</t>
  </si>
  <si>
    <t>2512018HMC1AUQ</t>
  </si>
  <si>
    <t>2512.SOL.03410</t>
  </si>
  <si>
    <t>25120189TT0HQ2</t>
  </si>
  <si>
    <t>2512.INV.03416</t>
  </si>
  <si>
    <t>2512029T9N8E06</t>
  </si>
  <si>
    <t>2512.INV.03417</t>
  </si>
  <si>
    <t>2512029S46FYU8</t>
  </si>
  <si>
    <t>2512.INV.03418</t>
  </si>
  <si>
    <t>2512029WHMP862</t>
  </si>
  <si>
    <t>2512.INV.03419</t>
  </si>
  <si>
    <t>2512029XD5V8YJ</t>
  </si>
  <si>
    <t>2512.INV.03420</t>
  </si>
  <si>
    <t>2512029WU4VDJK</t>
  </si>
  <si>
    <t>2512.INV.03427</t>
  </si>
  <si>
    <t>251202ANFQT33F</t>
  </si>
  <si>
    <t>2512.INV.03431</t>
  </si>
  <si>
    <t>251203BE0Y74JK</t>
  </si>
  <si>
    <t>2512.INV.03432</t>
  </si>
  <si>
    <t>251202B4WH8W03</t>
  </si>
  <si>
    <t>2512.INV.03430</t>
  </si>
  <si>
    <t>251203BY32APN7</t>
  </si>
  <si>
    <t>2512.INV.03433</t>
  </si>
  <si>
    <t>251203CCYVVF8Y</t>
  </si>
  <si>
    <t>2512.INV.03434</t>
  </si>
  <si>
    <t>251203CBN781M9</t>
  </si>
  <si>
    <t>2512.INV.03435</t>
  </si>
  <si>
    <t>251203CCGA38KE</t>
  </si>
  <si>
    <t>2512.INV.03436</t>
  </si>
  <si>
    <t>251203CCKH3RTP</t>
  </si>
  <si>
    <t>2512.INV.03437</t>
  </si>
  <si>
    <t>251203CF4QV4T1</t>
  </si>
  <si>
    <t>2512.INV.03439</t>
  </si>
  <si>
    <t>251203CJBPTQYA</t>
  </si>
  <si>
    <t>2512.INV.03440</t>
  </si>
  <si>
    <t>251203CJCFJSV3</t>
  </si>
  <si>
    <t>2512.INV.03444</t>
  </si>
  <si>
    <t>251203CWWXBUD7</t>
  </si>
  <si>
    <t>2512.INV.03447</t>
  </si>
  <si>
    <t>251203CYPM5U58</t>
  </si>
  <si>
    <t>2512.INV.03450</t>
  </si>
  <si>
    <t>251203D5MQN3PT</t>
  </si>
  <si>
    <t>2512.INV.03451</t>
  </si>
  <si>
    <t>251203DABTSTY3</t>
  </si>
  <si>
    <t>2512.INV.03456</t>
  </si>
  <si>
    <t>251203DHV5788Q</t>
  </si>
  <si>
    <t>2512.SJ.03454</t>
  </si>
  <si>
    <t>251204DWE455BE</t>
  </si>
  <si>
    <t>2512.INV.03452</t>
  </si>
  <si>
    <t>251204EPNXG209</t>
  </si>
  <si>
    <t>2512.INV.03453</t>
  </si>
  <si>
    <t>251204ENN0MV4W</t>
  </si>
  <si>
    <t>2512.INV.03455</t>
  </si>
  <si>
    <t>251203DNNWYC0X</t>
  </si>
  <si>
    <t>2512.INV.03463</t>
  </si>
  <si>
    <t>251204F73EKP3M</t>
  </si>
  <si>
    <t>2512.INV.03464</t>
  </si>
  <si>
    <t>251203DDU1XK7W</t>
  </si>
  <si>
    <t>2512.INV.03469</t>
  </si>
  <si>
    <t>251204F94UVU5W</t>
  </si>
  <si>
    <t>2512.INV.03470</t>
  </si>
  <si>
    <t>251203D88KBVHS</t>
  </si>
  <si>
    <t>2512.INV.03471</t>
  </si>
  <si>
    <t>251203D89RHKUP</t>
  </si>
  <si>
    <t>2512.INV.03472</t>
  </si>
  <si>
    <t>251204FF24P82R</t>
  </si>
  <si>
    <t>2512.INV.03473</t>
  </si>
  <si>
    <t>251204F4P9GCX0</t>
  </si>
  <si>
    <t>2512.INV.03481</t>
  </si>
  <si>
    <t>251204G050K8MR</t>
  </si>
  <si>
    <t>2512.INV.03482</t>
  </si>
  <si>
    <t>251204FUS7USNQ</t>
  </si>
  <si>
    <t>2512.INV.03483</t>
  </si>
  <si>
    <t>251204FU8W7SX1</t>
  </si>
  <si>
    <t>2512.INV.03484</t>
  </si>
  <si>
    <t>251204GBNPGAAJ</t>
  </si>
  <si>
    <t>Dari 30 Nov 2025 s/d 04 Des 2025</t>
  </si>
  <si>
    <t>TOTAL PENJUALAN:</t>
  </si>
  <si>
    <t>2511.INV.03379</t>
  </si>
  <si>
    <t>581408854627223479</t>
  </si>
  <si>
    <t>2512.INV.03396</t>
  </si>
  <si>
    <t>581433871735096665</t>
  </si>
  <si>
    <t>2512.INV.03399</t>
  </si>
  <si>
    <t>581434008914855030</t>
  </si>
  <si>
    <t>2512.INV.03404</t>
  </si>
  <si>
    <t>581435690951149254</t>
  </si>
  <si>
    <t>2512.INV.03411</t>
  </si>
  <si>
    <t>581443728762570687</t>
  </si>
  <si>
    <t>2512.INV.03412</t>
  </si>
  <si>
    <t>581447673805440392</t>
  </si>
  <si>
    <t>2512.INV.03424</t>
  </si>
  <si>
    <t>581452802623243554</t>
  </si>
  <si>
    <t>2512.INV.03425</t>
  </si>
  <si>
    <t>581453059005449441</t>
  </si>
  <si>
    <t>2512.INV.03457</t>
  </si>
  <si>
    <t>581476675626371049</t>
  </si>
  <si>
    <t>2512.INV.03467</t>
  </si>
  <si>
    <t>581480490015032859</t>
  </si>
  <si>
    <t>2512.INV.03468</t>
  </si>
  <si>
    <t>581482152188478765</t>
  </si>
  <si>
    <t>2512.INV.03476</t>
  </si>
  <si>
    <t>581484527419688181</t>
  </si>
  <si>
    <t>2512.INV.03478</t>
  </si>
  <si>
    <t>581480471240017244</t>
  </si>
  <si>
    <t>2512.INV.03485</t>
  </si>
  <si>
    <t>581486821393990978</t>
  </si>
  <si>
    <t>ISI IKLAN SHOPEE</t>
  </si>
  <si>
    <t>LAPORAN PENJUALAN ONLINE</t>
  </si>
  <si>
    <t xml:space="preserve">Excel Iyoan </t>
  </si>
  <si>
    <t>19/12/1025</t>
  </si>
  <si>
    <t xml:space="preserve">Total Penjualan: </t>
  </si>
  <si>
    <t xml:space="preserve"> </t>
  </si>
  <si>
    <t>2601.INV.03864</t>
  </si>
  <si>
    <t>2601.INV.03903</t>
  </si>
  <si>
    <t>260107D7WVYJUG</t>
  </si>
  <si>
    <t>2601.INV.03904</t>
  </si>
  <si>
    <t>260107DBN5JV6D</t>
  </si>
  <si>
    <t>2601.INV.03906</t>
  </si>
  <si>
    <t>260107DEBK8JSC</t>
  </si>
  <si>
    <t>2601.INV.03907</t>
  </si>
  <si>
    <t>260107DF29W075</t>
  </si>
  <si>
    <t>2601.INV.03908</t>
  </si>
  <si>
    <t>260107DNADV2HT</t>
  </si>
  <si>
    <t>2601.INV.03909</t>
  </si>
  <si>
    <t>260107DR7NWYAB</t>
  </si>
  <si>
    <t>2601.INV.03910</t>
  </si>
  <si>
    <t>260107DJTAD01J</t>
  </si>
  <si>
    <t>2601.INV.03912</t>
  </si>
  <si>
    <t>260107DT9KE5B2</t>
  </si>
  <si>
    <t>2601.INV.03913</t>
  </si>
  <si>
    <t>260107DTBGG963</t>
  </si>
  <si>
    <t>2601.INV.03914</t>
  </si>
  <si>
    <t>260107EDFBD29A</t>
  </si>
  <si>
    <t>2601.INV.03915</t>
  </si>
  <si>
    <t>260107E9368VQD</t>
  </si>
  <si>
    <t>2601.INV.03919</t>
  </si>
  <si>
    <t>260108FJXSXSMF</t>
  </si>
  <si>
    <t>2601.INV.03920</t>
  </si>
  <si>
    <t>260108FND54TTP</t>
  </si>
  <si>
    <t>2601.INV.03921</t>
  </si>
  <si>
    <t>260108FKFRKGDA</t>
  </si>
  <si>
    <t>2601.INV.03922</t>
  </si>
  <si>
    <t>260108FQHUBR69</t>
  </si>
  <si>
    <t>2601.INV.03923</t>
  </si>
  <si>
    <t>260108FQ24T1QG</t>
  </si>
  <si>
    <t>2601.INV.03924</t>
  </si>
  <si>
    <t>260108FSM0F8JF</t>
  </si>
  <si>
    <t>2601.INV.03934</t>
  </si>
  <si>
    <t>260108GD3YMDRN</t>
  </si>
  <si>
    <t>2601.INV.03935</t>
  </si>
  <si>
    <t>260108GEM3RA35</t>
  </si>
  <si>
    <t>2512.INV.03773</t>
  </si>
  <si>
    <t>260109K0BN1YDC</t>
  </si>
  <si>
    <t>2601.INV.03936</t>
  </si>
  <si>
    <t>260109J4VCV58S</t>
  </si>
  <si>
    <t>2601.INV.03937</t>
  </si>
  <si>
    <t>260109J5Y1XAHD</t>
  </si>
  <si>
    <t>2601.INV.03939</t>
  </si>
  <si>
    <t>260109JBGK1CVB</t>
  </si>
  <si>
    <t>2601.INV.03942</t>
  </si>
  <si>
    <t>260109JH4QY1NJ</t>
  </si>
  <si>
    <t>2601.INV.03946</t>
  </si>
  <si>
    <t>260109JVFYA2F5</t>
  </si>
  <si>
    <t>2601.INV.03949</t>
  </si>
  <si>
    <t>260109KF9UPPA3</t>
  </si>
  <si>
    <t>2601.INV.03950</t>
  </si>
  <si>
    <t>260109K727JTUD</t>
  </si>
  <si>
    <t>2601.INV.03952</t>
  </si>
  <si>
    <t>260110MSU5NY99</t>
  </si>
  <si>
    <t>2601.INV.03911</t>
  </si>
  <si>
    <t>582005326746322538</t>
  </si>
  <si>
    <t>2601.INV.03916</t>
  </si>
  <si>
    <t>582014378630218829</t>
  </si>
  <si>
    <t>2601.INV.03917</t>
  </si>
  <si>
    <t>582014694193268067</t>
  </si>
  <si>
    <t>2601.INV.03925</t>
  </si>
  <si>
    <t>582017689283757186</t>
  </si>
  <si>
    <t>2601.INV.03943</t>
  </si>
  <si>
    <t>582035312940057652</t>
  </si>
  <si>
    <t>2601.INV.03951</t>
  </si>
  <si>
    <t>582046968647026207</t>
  </si>
  <si>
    <t>Dari 05 Jan 2026 s/d 12 Jan 2026</t>
  </si>
  <si>
    <t>2601.INV.03967</t>
  </si>
  <si>
    <t>260113V41N1M06</t>
  </si>
  <si>
    <t>2601.INV.03978</t>
  </si>
  <si>
    <t>260113VQAVHVW8</t>
  </si>
  <si>
    <t>2601.INV.03979</t>
  </si>
  <si>
    <t>260113VRHR6DUH</t>
  </si>
  <si>
    <t>2601.INV.03982</t>
  </si>
  <si>
    <t>26011308B13T5H</t>
  </si>
  <si>
    <t>2601.INV.03983</t>
  </si>
  <si>
    <t>26011306HPANW0</t>
  </si>
  <si>
    <t>2601.INV.03985</t>
  </si>
  <si>
    <t>2601141JPKYB58</t>
  </si>
  <si>
    <t>2601.INV.03986</t>
  </si>
  <si>
    <t>2601141K3HU2CF</t>
  </si>
  <si>
    <t>2601.INV.03987</t>
  </si>
  <si>
    <t>2601141N00WJBV</t>
  </si>
  <si>
    <t>2601.INV.03988</t>
  </si>
  <si>
    <t>2601141PPMYR4Y</t>
  </si>
  <si>
    <t>2601.INV.03990</t>
  </si>
  <si>
    <t>2601141NQM6XKF</t>
  </si>
  <si>
    <t>2601.INV.03992</t>
  </si>
  <si>
    <t>2601141RM5BPG7</t>
  </si>
  <si>
    <t>2601.INV.03993</t>
  </si>
  <si>
    <t>2601141SGP0TFM</t>
  </si>
  <si>
    <t>2601.INV.03994</t>
  </si>
  <si>
    <t>2601141UMUYQYT</t>
  </si>
  <si>
    <t>2601.INV.03997</t>
  </si>
  <si>
    <t>2601141WDQMH6D</t>
  </si>
  <si>
    <t>2601.INV.04004</t>
  </si>
  <si>
    <t>2601142CFCV810</t>
  </si>
  <si>
    <t>2601.INV.04005</t>
  </si>
  <si>
    <t>2601153XSCA1Q7</t>
  </si>
  <si>
    <t>2601.INV.04006</t>
  </si>
  <si>
    <t>26011546MNPJQS</t>
  </si>
  <si>
    <t>2601.INV.04007</t>
  </si>
  <si>
    <t>26011548SETJ80</t>
  </si>
  <si>
    <t>2601.INV.04010</t>
  </si>
  <si>
    <t>2601154T524WEU</t>
  </si>
  <si>
    <t>2601.INV.03969</t>
  </si>
  <si>
    <t>582093920580634253</t>
  </si>
  <si>
    <t>2601.INV.03973</t>
  </si>
  <si>
    <t>582095023216165985</t>
  </si>
  <si>
    <t>2601.INV.03975</t>
  </si>
  <si>
    <t>582095123352159416</t>
  </si>
  <si>
    <t>2601.INV.03981</t>
  </si>
  <si>
    <t>582097084131542583</t>
  </si>
  <si>
    <t>2601.INV.03984</t>
  </si>
  <si>
    <t>582107786882418121</t>
  </si>
  <si>
    <t>2601.INV.04002</t>
  </si>
  <si>
    <t>582109841710875680</t>
  </si>
  <si>
    <t>2601.INV04003</t>
  </si>
  <si>
    <t>582114229539734605</t>
  </si>
  <si>
    <t>2601.INV.04009</t>
  </si>
  <si>
    <t>582128225828570708</t>
  </si>
  <si>
    <t>Budget ads belum terpakai</t>
  </si>
  <si>
    <t>Budget ads  belum terpakai</t>
  </si>
  <si>
    <t>Dari 13 Jan 2026 s/d 19 Jan 2026</t>
  </si>
  <si>
    <t>2601.INV.04019</t>
  </si>
  <si>
    <t>2601166UR3B0CW</t>
  </si>
  <si>
    <t>2601.INV.04014</t>
  </si>
  <si>
    <t>2601178WQ113QT</t>
  </si>
  <si>
    <t>2601.INV.04020</t>
  </si>
  <si>
    <t>260117965W0KNM</t>
  </si>
  <si>
    <t>2601.INV.04021</t>
  </si>
  <si>
    <t>2601179643RNHR</t>
  </si>
  <si>
    <t>2601.INV.04022</t>
  </si>
  <si>
    <t>26011795NEHF31</t>
  </si>
  <si>
    <t>2601.INV.04025</t>
  </si>
  <si>
    <t>2601179FMS589S</t>
  </si>
  <si>
    <t>2601.INV.04028</t>
  </si>
  <si>
    <t>260117AC8A1KW2</t>
  </si>
  <si>
    <t>2601.INV.04029</t>
  </si>
  <si>
    <t>260117AA9WYKPW</t>
  </si>
  <si>
    <t>2601.INV.04030</t>
  </si>
  <si>
    <t>2601179YWQDP9R</t>
  </si>
  <si>
    <t>2601.INV.04031</t>
  </si>
  <si>
    <t>2601179Y1TRSTK</t>
  </si>
  <si>
    <t>2601.INV.04032</t>
  </si>
  <si>
    <t>2601179XWVW0CR</t>
  </si>
  <si>
    <t>2601.INV.04027</t>
  </si>
  <si>
    <t>260119DBGDXBPE</t>
  </si>
  <si>
    <t>2601.INV.04011</t>
  </si>
  <si>
    <t>582133301031896419</t>
  </si>
  <si>
    <t>2601.INV.04012</t>
  </si>
  <si>
    <t>582141611654808924</t>
  </si>
  <si>
    <t>2601.INV.04013</t>
  </si>
  <si>
    <t>582143102332143319</t>
  </si>
  <si>
    <t>2601.INV.04033</t>
  </si>
  <si>
    <t>582165032100333195</t>
  </si>
  <si>
    <t>2601.INV.04015</t>
  </si>
  <si>
    <t>26011681GC35S0</t>
  </si>
  <si>
    <t>2601.INV.04016</t>
  </si>
  <si>
    <t>2601167B6950EN</t>
  </si>
  <si>
    <t>2601.INV.04017</t>
  </si>
  <si>
    <t>26011670CPBXH3</t>
  </si>
  <si>
    <t>2601.INV.04018</t>
  </si>
  <si>
    <t>2601166YY87MWT</t>
  </si>
  <si>
    <t>2601.INV.04052</t>
  </si>
  <si>
    <t>260120GQUYT34R</t>
  </si>
  <si>
    <t>2601.INV.04053</t>
  </si>
  <si>
    <t>260120GTGXT2W3</t>
  </si>
  <si>
    <t>2601.INV.04054</t>
  </si>
  <si>
    <t>260120H3CPQCCC</t>
  </si>
  <si>
    <t>2601.INV.04057</t>
  </si>
  <si>
    <t>260120H755G815</t>
  </si>
  <si>
    <t>2601.INV.04066</t>
  </si>
  <si>
    <t>260121KBFW9N3S</t>
  </si>
  <si>
    <t>2601.INV.04067</t>
  </si>
  <si>
    <t>260121K90592W6</t>
  </si>
  <si>
    <t>2601.INV.04068</t>
  </si>
  <si>
    <t>260121KC89DT1K</t>
  </si>
  <si>
    <t>2601.INV.04075</t>
  </si>
  <si>
    <t>260121KRV0VB32</t>
  </si>
  <si>
    <t>2601.INV.04076</t>
  </si>
  <si>
    <t>260121KV0T4R63</t>
  </si>
  <si>
    <t>2601.INV.04080</t>
  </si>
  <si>
    <t>260121MD44DF90</t>
  </si>
  <si>
    <t>2601.INV.04081</t>
  </si>
  <si>
    <t>260121MKD4VT90</t>
  </si>
  <si>
    <t>2601.INV.04082</t>
  </si>
  <si>
    <t>260122NUJC4QDG</t>
  </si>
  <si>
    <t>2601.INV.04051</t>
  </si>
  <si>
    <t>582202044253242433</t>
  </si>
  <si>
    <t>2601.INV.04061</t>
  </si>
  <si>
    <t>582208025967626053</t>
  </si>
  <si>
    <t>2601.INV.04064</t>
  </si>
  <si>
    <t>582217556411975641</t>
  </si>
  <si>
    <t>2601.INV.04065</t>
  </si>
  <si>
    <t>582217660974728984</t>
  </si>
  <si>
    <t>2601.INV.04074</t>
  </si>
  <si>
    <t>582221349951866034</t>
  </si>
  <si>
    <t>2601.INV.04078</t>
  </si>
  <si>
    <t>582222949559665842</t>
  </si>
  <si>
    <t>Dari 20 Jan 2026 s/d 22 Jan 2026</t>
  </si>
  <si>
    <t>2601.INV.04094</t>
  </si>
  <si>
    <t>260122PX8TYNCH</t>
  </si>
  <si>
    <t>2601.INV.04095</t>
  </si>
  <si>
    <t>260122PUEK8C8W</t>
  </si>
  <si>
    <t>2601.INV.04096</t>
  </si>
  <si>
    <t>260122MQA5JB4Y</t>
  </si>
  <si>
    <t>2601.INV.04098</t>
  </si>
  <si>
    <t>260123RE0AMQ7B</t>
  </si>
  <si>
    <t>2601.INV.04103</t>
  </si>
  <si>
    <t>260123RR3BFSYF</t>
  </si>
  <si>
    <t>2601.INV.04106</t>
  </si>
  <si>
    <t>260123RVNTSRSG</t>
  </si>
  <si>
    <t>2601.INV.04107</t>
  </si>
  <si>
    <t>260123RWQN8STA</t>
  </si>
  <si>
    <t>2601.INV.04108</t>
  </si>
  <si>
    <t>260123S2C5CS9V</t>
  </si>
  <si>
    <t>2601.INV.04109</t>
  </si>
  <si>
    <t>260123S2N4DFWF</t>
  </si>
  <si>
    <t>2601.INV.04111</t>
  </si>
  <si>
    <t>260123S5KMJ7MS</t>
  </si>
  <si>
    <t>2601.INV.04112</t>
  </si>
  <si>
    <t>260124SU0FX2NU</t>
  </si>
  <si>
    <t>2601.INV.04113</t>
  </si>
  <si>
    <t>260124TX3FDMR7</t>
  </si>
  <si>
    <t>2601.INV.04114</t>
  </si>
  <si>
    <t>260124TYFVBE0H</t>
  </si>
  <si>
    <t>2601.INV.04115</t>
  </si>
  <si>
    <t>260124U0VMT9XK</t>
  </si>
  <si>
    <t>2601.INV.04116</t>
  </si>
  <si>
    <t>260124U15GXQEF</t>
  </si>
  <si>
    <t>2601.INV.04125</t>
  </si>
  <si>
    <t>260125V8AK4C5K</t>
  </si>
  <si>
    <t>2601.INV.04126</t>
  </si>
  <si>
    <t>260124V37RAA7K</t>
  </si>
  <si>
    <t>2601.INV.04127</t>
  </si>
  <si>
    <t>260124UEPSFTXF</t>
  </si>
  <si>
    <t>2601.INV.04128</t>
  </si>
  <si>
    <t>260124UE40PXB5</t>
  </si>
  <si>
    <t>2601.INV.04122</t>
  </si>
  <si>
    <t>260124TTVXRC4V</t>
  </si>
  <si>
    <t>2601.INV.04123</t>
  </si>
  <si>
    <t>2601251F5FU6JQ</t>
  </si>
  <si>
    <t>2601.INV.04124</t>
  </si>
  <si>
    <t>26012516VY0VBA</t>
  </si>
  <si>
    <t>2601.INV.04129</t>
  </si>
  <si>
    <t>2601262PAKY2K7</t>
  </si>
  <si>
    <t>2601.INV.04110</t>
  </si>
  <si>
    <t>582253718146286666</t>
  </si>
  <si>
    <t>2601.INV.04121</t>
  </si>
  <si>
    <t>582269660842919318</t>
  </si>
  <si>
    <t>2601.INV.04119</t>
  </si>
  <si>
    <t>582279776752469099</t>
  </si>
  <si>
    <t>2601.INV.04120</t>
  </si>
  <si>
    <t>582279099515832170</t>
  </si>
  <si>
    <t>Dari 23 Jan 2026 s/d 26 Jan 2026</t>
  </si>
  <si>
    <t>Budget kurang</t>
  </si>
  <si>
    <t>2601.INV.04132</t>
  </si>
  <si>
    <t>2601262VGUQWJP</t>
  </si>
  <si>
    <t>2601.INV.04135</t>
  </si>
  <si>
    <t>26012633FDSW7Q</t>
  </si>
  <si>
    <t>2601.INV.04137</t>
  </si>
  <si>
    <t>26012635NX5X1D</t>
  </si>
  <si>
    <t>2601.INV.04142</t>
  </si>
  <si>
    <t>2601274YN974UB</t>
  </si>
  <si>
    <t>2601.INV.04143</t>
  </si>
  <si>
    <t>2601274R0PEE8S</t>
  </si>
  <si>
    <t>2601.INV.04150</t>
  </si>
  <si>
    <t>2601275GVJ9FB3</t>
  </si>
  <si>
    <t>2601.INV.04154</t>
  </si>
  <si>
    <t>2601275MXTS153</t>
  </si>
  <si>
    <t>2601.INV.04155</t>
  </si>
  <si>
    <t>26012760EM3QQU</t>
  </si>
  <si>
    <t>2601.INV.04157</t>
  </si>
  <si>
    <t>2601287G3RB426</t>
  </si>
  <si>
    <t>2601.INV.04158</t>
  </si>
  <si>
    <t>2601287BTMHE66</t>
  </si>
  <si>
    <t>2601.INV.04159</t>
  </si>
  <si>
    <t>2601287JC6S01V</t>
  </si>
  <si>
    <t>2601.INV.04160</t>
  </si>
  <si>
    <t>2601287N2S6DFA</t>
  </si>
  <si>
    <t>2601.INV.04165</t>
  </si>
  <si>
    <t>2601287TNURDY4</t>
  </si>
  <si>
    <t>2601.INV.04166</t>
  </si>
  <si>
    <t>2601287SJ76KBB</t>
  </si>
  <si>
    <t>2601.INV.04167</t>
  </si>
  <si>
    <t>2601287VX7BF2H</t>
  </si>
  <si>
    <t>2601.INV.04168</t>
  </si>
  <si>
    <t>2601287SCC90K4</t>
  </si>
  <si>
    <t>2601.INV.04169</t>
  </si>
  <si>
    <t>2601287WF17N2H</t>
  </si>
  <si>
    <t>2601.INV.04170</t>
  </si>
  <si>
    <t>260128840YTEX6</t>
  </si>
  <si>
    <t>2601.INV.04171</t>
  </si>
  <si>
    <t>26012889JMPG6A</t>
  </si>
  <si>
    <t>2601.INV.04175</t>
  </si>
  <si>
    <t>2601288DPPDH7A</t>
  </si>
  <si>
    <t>2601.INV.04176</t>
  </si>
  <si>
    <t>2601288GBFKFX6</t>
  </si>
  <si>
    <t>2601.INV.04178</t>
  </si>
  <si>
    <t>2601299AF9DEBH</t>
  </si>
  <si>
    <t>2601.INV.04179</t>
  </si>
  <si>
    <t>26012999DSEVC5</t>
  </si>
  <si>
    <t>2601.INV.04180</t>
  </si>
  <si>
    <t>26012892K1HS8T</t>
  </si>
  <si>
    <t>2601.INV.04181</t>
  </si>
  <si>
    <t>2601288QNGU70D</t>
  </si>
  <si>
    <t>2601.INV.04186</t>
  </si>
  <si>
    <t>260129AFAEGN78</t>
  </si>
  <si>
    <t>2601.INV.04188</t>
  </si>
  <si>
    <t>260129AQ9A93CR</t>
  </si>
  <si>
    <t>2601.INV.04134</t>
  </si>
  <si>
    <t>582297897582692022</t>
  </si>
  <si>
    <t>2601.INV.04139</t>
  </si>
  <si>
    <t>582300237439206561</t>
  </si>
  <si>
    <t>2601.INV.04182</t>
  </si>
  <si>
    <t>582333980368209537</t>
  </si>
  <si>
    <t>2601.INV.04191</t>
  </si>
  <si>
    <t>582345699727083107</t>
  </si>
  <si>
    <t>2601.INV.04194</t>
  </si>
  <si>
    <t>260106B5J658SX</t>
  </si>
  <si>
    <t>2601.INV.04195</t>
  </si>
  <si>
    <t>260129BCTWB0VY</t>
  </si>
  <si>
    <t>2601.INV.04196</t>
  </si>
  <si>
    <t>260130BY7DMCRM</t>
  </si>
  <si>
    <t>2601.INV.04197</t>
  </si>
  <si>
    <t>260129BBYNPKMN</t>
  </si>
  <si>
    <t>2601.INV.04201</t>
  </si>
  <si>
    <t>260130DH99JDT9</t>
  </si>
  <si>
    <t>2601.INV.04202</t>
  </si>
  <si>
    <t>260130DHJ8NDGP</t>
  </si>
  <si>
    <t>2601.INV.04203</t>
  </si>
  <si>
    <t>260130DJ1Y8B18</t>
  </si>
  <si>
    <t>2601.INV.04204</t>
  </si>
  <si>
    <t>260131F3H91M0N</t>
  </si>
  <si>
    <t>2601.INV.04205</t>
  </si>
  <si>
    <t>260131F1M8WXPR</t>
  </si>
  <si>
    <t>2601.INV.04206</t>
  </si>
  <si>
    <t>260131EYQN5CAM</t>
  </si>
  <si>
    <t>2601.INV.04207</t>
  </si>
  <si>
    <t>260130E1N76308</t>
  </si>
  <si>
    <t>2601.INV.04208</t>
  </si>
  <si>
    <t>260131F7HB1RRK</t>
  </si>
  <si>
    <t>2601.INV.04214</t>
  </si>
  <si>
    <t>260131FJ16W4JP</t>
  </si>
  <si>
    <t>2601.INV.04215</t>
  </si>
  <si>
    <t>260131FHS89M4Y</t>
  </si>
  <si>
    <t>2601.INV.04225</t>
  </si>
  <si>
    <t>260131GHUJWJAX</t>
  </si>
  <si>
    <t>2601.INV.04226</t>
  </si>
  <si>
    <t>260131G0V5NG0G</t>
  </si>
  <si>
    <t>2601.INV.04227</t>
  </si>
  <si>
    <t>260131FVVTK4EM</t>
  </si>
  <si>
    <t>2601.INV.04228</t>
  </si>
  <si>
    <t>260131FQVDWP2G</t>
  </si>
  <si>
    <t>2602.INV.04222</t>
  </si>
  <si>
    <t>260201J4F6BB0M</t>
  </si>
  <si>
    <t>2602.INV.04223</t>
  </si>
  <si>
    <t>260201J0EYMAC4</t>
  </si>
  <si>
    <t>2602.INV.04224</t>
  </si>
  <si>
    <t>260201HSP000TC</t>
  </si>
  <si>
    <t>2602.INV.04218</t>
  </si>
  <si>
    <t>260202M3AMPF03</t>
  </si>
  <si>
    <t>2602.INV.04219</t>
  </si>
  <si>
    <t>260202KWCPWKJ4</t>
  </si>
  <si>
    <t>2602.INV.04220</t>
  </si>
  <si>
    <t>260202KDEG0WE4</t>
  </si>
  <si>
    <t>2602.INV.04221</t>
  </si>
  <si>
    <t>260202KDSA8FT8</t>
  </si>
  <si>
    <t>2602.INV.04229</t>
  </si>
  <si>
    <t>260202M5FER313</t>
  </si>
  <si>
    <t>2602.INV.04231</t>
  </si>
  <si>
    <t>260202M6JAHG4B</t>
  </si>
  <si>
    <t>2602.INV.04235</t>
  </si>
  <si>
    <t>260202MKCTF1FW</t>
  </si>
  <si>
    <t>2602.INV.04241</t>
  </si>
  <si>
    <t>260202MVMV7CUW</t>
  </si>
  <si>
    <t>2601.INV.04210</t>
  </si>
  <si>
    <t>582374653980738740</t>
  </si>
  <si>
    <t>2601.INV.04217</t>
  </si>
  <si>
    <t>582376239984575896</t>
  </si>
  <si>
    <t>2602.INV.04233</t>
  </si>
  <si>
    <t>582409141486585662</t>
  </si>
  <si>
    <t>2602.INV.04236</t>
  </si>
  <si>
    <t>582410517551810451</t>
  </si>
  <si>
    <t>2602.INV.04238</t>
  </si>
  <si>
    <t>582411922003100776</t>
  </si>
  <si>
    <t>Dari 30 Jan 2026 s/d  Jan 2026</t>
  </si>
  <si>
    <t>6X TOPUP</t>
  </si>
  <si>
    <t xml:space="preserve">TOTAL BUDGET SHOPEE ADS JANUARI 2026 </t>
  </si>
  <si>
    <t>Dari 27 Jan 2026 s/d 29 Jan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</si>
</sst>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p&quot;* #,##0.00_-;\-&quot;Rp&quot;* #,##0.00_-;_-&quot;Rp&quot;* &quot;-&quot;??_-;_-@_-"/>
    <numFmt numFmtId="164" formatCode="dd\ mmm\ yyyy"/>
    <numFmt numFmtId="165" formatCode="_-&quot;Rp&quot;* #,##0_-;\-&quot;Rp&quot;* #,##0_-;_-&quot;Rp&quot;* &quot;-&quot;??_-;_-@_-"/>
    <numFmt numFmtId="166" formatCode="_-[$Rp-3809]* #,##0_-;\-[$Rp-3809]* #,##0_-;_-[$Rp-3809]* &quot;-&quot;??_-;_-@_-"/>
  </numFmts>
  <fonts count="9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rgb="FF00336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393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5" borderId="2" xfId="0" applyFont="1" applyFill="1" applyBorder="1" applyAlignment="1">
      <alignment horizontal="center" vertical="center" wrapText="1"/>
    </xf>
    <xf numFmtId="164" fontId="2" fillId="5" borderId="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top"/>
    </xf>
    <xf numFmtId="165" fontId="2" fillId="5" borderId="2" xfId="1" applyNumberFormat="1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165" fontId="2" fillId="5" borderId="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165" fontId="6" fillId="5" borderId="2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5" fontId="2" fillId="4" borderId="1" xfId="1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164" fontId="2" fillId="3" borderId="1" xfId="0" applyNumberFormat="1" applyFont="1" applyFill="1" applyBorder="1" applyAlignment="1">
      <alignment horizontal="center" vertical="top"/>
    </xf>
    <xf numFmtId="165" fontId="2" fillId="4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65" fontId="0" fillId="0" borderId="0" xfId="1" applyNumberFormat="1" applyFont="1"/>
    <xf numFmtId="165" fontId="2" fillId="5" borderId="2" xfId="1" applyNumberFormat="1" applyFont="1" applyFill="1" applyBorder="1" applyAlignment="1">
      <alignment horizontal="right" vertical="top" wrapText="1"/>
    </xf>
    <xf numFmtId="165" fontId="4" fillId="7" borderId="0" xfId="1" applyNumberFormat="1" applyFont="1" applyFill="1"/>
    <xf numFmtId="165" fontId="4" fillId="7" borderId="0" xfId="1" applyNumberFormat="1" applyFont="1" applyFill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166" fontId="0" fillId="0" borderId="0" xfId="0" applyNumberFormat="1"/>
    <xf numFmtId="165" fontId="0" fillId="0" borderId="0" xfId="1" applyNumberFormat="1" applyFont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165" fontId="6" fillId="5" borderId="2" xfId="1" applyNumberFormat="1" applyFont="1" applyFill="1" applyBorder="1" applyAlignment="1">
      <alignment horizontal="center" vertical="center"/>
    </xf>
    <xf numFmtId="164" fontId="0" fillId="0" borderId="0" xfId="0" applyNumberFormat="1"/>
    <xf numFmtId="164" fontId="2" fillId="5" borderId="2" xfId="0" applyNumberFormat="1" applyFont="1" applyFill="1" applyBorder="1" applyAlignment="1">
      <alignment vertical="top"/>
    </xf>
    <xf numFmtId="164" fontId="2" fillId="5" borderId="2" xfId="0" applyNumberFormat="1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165" fontId="1" fillId="0" borderId="2" xfId="1" applyNumberFormat="1" applyFont="1" applyFill="1" applyBorder="1" applyAlignment="1">
      <alignment horizontal="center" vertical="center"/>
    </xf>
    <xf numFmtId="165" fontId="0" fillId="0" borderId="0" xfId="0" applyNumberFormat="1"/>
    <xf numFmtId="14" fontId="0" fillId="0" borderId="0" xfId="0" applyNumberFormat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166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4" fillId="7" borderId="0" xfId="1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5" borderId="2" xfId="0" applyFont="1" applyFill="1" applyBorder="1" applyAlignment="1">
      <alignment horizontal="center" vertical="top" wrapText="1"/>
    </xf>
    <xf numFmtId="164" fontId="2" fillId="5" borderId="2" xfId="0" applyNumberFormat="1" applyFont="1" applyFill="1" applyBorder="1" applyAlignment="1">
      <alignment horizontal="center" vertical="top" wrapText="1"/>
    </xf>
    <xf numFmtId="164" fontId="2" fillId="5" borderId="2" xfId="0" applyNumberFormat="1" applyFont="1" applyFill="1" applyBorder="1" applyAlignment="1">
      <alignment horizontal="center" vertical="top"/>
    </xf>
    <xf numFmtId="165" fontId="2" fillId="5" borderId="2" xfId="1" applyNumberFormat="1" applyFont="1" applyFill="1" applyBorder="1" applyAlignment="1">
      <alignment horizontal="center" vertical="top" wrapText="1"/>
    </xf>
    <xf numFmtId="165" fontId="4" fillId="7" borderId="0" xfId="1" applyNumberFormat="1" applyFont="1" applyFill="1" applyAlignment="1">
      <alignment horizontal="center"/>
    </xf>
    <xf numFmtId="165" fontId="0" fillId="8" borderId="0" xfId="0" applyNumberFormat="1" applyFill="1" applyAlignment="1">
      <alignment horizontal="center"/>
    </xf>
    <xf numFmtId="165" fontId="2" fillId="5" borderId="2" xfId="1" applyNumberFormat="1" applyFont="1" applyFill="1" applyBorder="1" applyAlignment="1">
      <alignment horizontal="center" vertical="center" wrapText="1"/>
    </xf>
    <xf numFmtId="165" fontId="0" fillId="9" borderId="0" xfId="0" applyNumberFormat="1" applyFill="1" applyAlignment="1">
      <alignment horizontal="center"/>
    </xf>
    <xf numFmtId="0" fontId="4" fillId="7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0" borderId="2" xfId="0" applyBorder="1" applyAlignment="1"/>
    <xf numFmtId="165" fontId="0" fillId="0" borderId="0" xfId="1" applyNumberFormat="1" applyFont="1" applyAlignment="1">
      <alignment vertical="center"/>
    </xf>
    <xf numFmtId="165" fontId="0" fillId="0" borderId="0" xfId="0" applyNumberFormat="1" applyFill="1" applyAlignment="1">
      <alignment horizontal="center"/>
    </xf>
    <xf numFmtId="0" fontId="4" fillId="7" borderId="2" xfId="0" applyFont="1" applyFill="1" applyBorder="1" applyAlignment="1">
      <alignment horizontal="center"/>
    </xf>
    <xf numFmtId="165" fontId="0" fillId="8" borderId="0" xfId="0" applyNumberFormat="1" applyFill="1"/>
    <xf numFmtId="165" fontId="0" fillId="9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4F9E0-9C52-4D44-8932-14742E616E22}">
  <dimension ref="A1:H182"/>
  <sheetViews>
    <sheetView tabSelected="1" topLeftCell="A172" workbookViewId="0">
      <selection activeCell="G181" sqref="G181"/>
    </sheetView>
  </sheetViews>
  <sheetFormatPr defaultRowHeight="15" x14ac:dyDescent="0.25"/>
  <cols>
    <col min="1" max="1" width="6.42578125" customWidth="1"/>
    <col min="2" max="2" width="16.140625" style="9" customWidth="1"/>
    <col min="3" max="3" width="11" style="9" bestFit="1" customWidth="1"/>
    <col min="4" max="4" width="12.28515625" style="9" customWidth="1"/>
    <col min="5" max="5" width="17.7109375" style="20" customWidth="1"/>
    <col min="6" max="6" width="11.7109375" customWidth="1"/>
    <col min="7" max="7" width="24.5703125" style="9" customWidth="1"/>
  </cols>
  <sheetData>
    <row r="1" spans="1:7" ht="15" customHeight="1" x14ac:dyDescent="0.25">
      <c r="A1" s="52" t="s">
        <v>348</v>
      </c>
      <c r="B1" s="52"/>
      <c r="C1" s="52"/>
      <c r="D1" s="52"/>
      <c r="E1" s="52"/>
      <c r="F1" s="52"/>
      <c r="G1" s="52"/>
    </row>
    <row r="2" spans="1:7" x14ac:dyDescent="0.25">
      <c r="A2" s="52"/>
      <c r="B2" s="52"/>
      <c r="C2" s="52"/>
      <c r="D2" s="52"/>
      <c r="E2" s="52"/>
      <c r="F2" s="52"/>
      <c r="G2" s="52"/>
    </row>
    <row r="3" spans="1:7" ht="15.75" x14ac:dyDescent="0.25">
      <c r="A3" s="53" t="s">
        <v>317</v>
      </c>
      <c r="B3" s="53"/>
      <c r="C3" s="53"/>
      <c r="D3" s="53"/>
      <c r="E3" s="53"/>
      <c r="F3" s="53"/>
      <c r="G3" s="53"/>
    </row>
    <row r="4" spans="1:7" ht="30" x14ac:dyDescent="0.25">
      <c r="A4" s="12" t="s">
        <v>202</v>
      </c>
      <c r="B4" s="10" t="s">
        <v>203</v>
      </c>
      <c r="C4" s="10" t="s">
        <v>1</v>
      </c>
      <c r="D4" s="10" t="s">
        <v>2</v>
      </c>
      <c r="E4" s="11" t="s">
        <v>3</v>
      </c>
      <c r="F4" s="10" t="s">
        <v>4</v>
      </c>
      <c r="G4" s="11" t="s">
        <v>5</v>
      </c>
    </row>
    <row r="5" spans="1:7" x14ac:dyDescent="0.25">
      <c r="A5" s="9">
        <v>1</v>
      </c>
      <c r="B5" s="6" t="s">
        <v>205</v>
      </c>
      <c r="C5" s="7">
        <v>45991</v>
      </c>
      <c r="D5" s="6" t="s">
        <v>6</v>
      </c>
      <c r="E5" s="8">
        <v>133778</v>
      </c>
      <c r="F5" s="6" t="s">
        <v>8</v>
      </c>
      <c r="G5" s="6" t="s">
        <v>206</v>
      </c>
    </row>
    <row r="6" spans="1:7" x14ac:dyDescent="0.25">
      <c r="A6" s="9">
        <v>2</v>
      </c>
      <c r="B6" s="6" t="s">
        <v>207</v>
      </c>
      <c r="C6" s="7">
        <v>45991</v>
      </c>
      <c r="D6" s="6" t="s">
        <v>6</v>
      </c>
      <c r="E6" s="8">
        <v>53649</v>
      </c>
      <c r="F6" s="6" t="s">
        <v>8</v>
      </c>
      <c r="G6" s="6" t="s">
        <v>208</v>
      </c>
    </row>
    <row r="7" spans="1:7" x14ac:dyDescent="0.25">
      <c r="A7" s="9">
        <v>3</v>
      </c>
      <c r="B7" s="6" t="s">
        <v>209</v>
      </c>
      <c r="C7" s="7">
        <v>45991</v>
      </c>
      <c r="D7" s="6" t="s">
        <v>6</v>
      </c>
      <c r="E7" s="8">
        <v>35076</v>
      </c>
      <c r="F7" s="6" t="s">
        <v>8</v>
      </c>
      <c r="G7" s="6" t="s">
        <v>210</v>
      </c>
    </row>
    <row r="8" spans="1:7" x14ac:dyDescent="0.25">
      <c r="A8" s="9">
        <v>4</v>
      </c>
      <c r="B8" s="6" t="s">
        <v>211</v>
      </c>
      <c r="C8" s="7">
        <v>45991</v>
      </c>
      <c r="D8" s="6" t="s">
        <v>6</v>
      </c>
      <c r="E8" s="8">
        <v>109826</v>
      </c>
      <c r="F8" s="6" t="s">
        <v>8</v>
      </c>
      <c r="G8" s="6" t="s">
        <v>212</v>
      </c>
    </row>
    <row r="9" spans="1:7" x14ac:dyDescent="0.25">
      <c r="A9" s="9">
        <v>5</v>
      </c>
      <c r="B9" s="6" t="s">
        <v>213</v>
      </c>
      <c r="C9" s="7">
        <v>45991</v>
      </c>
      <c r="D9" s="6" t="s">
        <v>6</v>
      </c>
      <c r="E9" s="8">
        <v>69150</v>
      </c>
      <c r="F9" s="6" t="s">
        <v>8</v>
      </c>
      <c r="G9" s="6" t="s">
        <v>214</v>
      </c>
    </row>
    <row r="10" spans="1:7" x14ac:dyDescent="0.25">
      <c r="A10" s="9">
        <v>6</v>
      </c>
      <c r="B10" s="6" t="s">
        <v>215</v>
      </c>
      <c r="C10" s="7">
        <v>45991</v>
      </c>
      <c r="D10" s="6" t="s">
        <v>6</v>
      </c>
      <c r="E10" s="8">
        <v>80241</v>
      </c>
      <c r="F10" s="6" t="s">
        <v>8</v>
      </c>
      <c r="G10" s="6" t="s">
        <v>216</v>
      </c>
    </row>
    <row r="11" spans="1:7" x14ac:dyDescent="0.25">
      <c r="A11" s="9">
        <v>7</v>
      </c>
      <c r="B11" s="6" t="s">
        <v>217</v>
      </c>
      <c r="C11" s="7">
        <v>45992</v>
      </c>
      <c r="D11" s="6" t="s">
        <v>6</v>
      </c>
      <c r="E11" s="8">
        <v>262870</v>
      </c>
      <c r="F11" s="6" t="s">
        <v>8</v>
      </c>
      <c r="G11" s="6" t="s">
        <v>218</v>
      </c>
    </row>
    <row r="12" spans="1:7" x14ac:dyDescent="0.25">
      <c r="A12" s="9">
        <v>8</v>
      </c>
      <c r="B12" s="6" t="s">
        <v>219</v>
      </c>
      <c r="C12" s="7">
        <v>45992</v>
      </c>
      <c r="D12" s="6" t="s">
        <v>6</v>
      </c>
      <c r="E12" s="8">
        <v>12830</v>
      </c>
      <c r="F12" s="6" t="s">
        <v>8</v>
      </c>
      <c r="G12" s="6" t="s">
        <v>220</v>
      </c>
    </row>
    <row r="13" spans="1:7" x14ac:dyDescent="0.25">
      <c r="A13" s="9">
        <v>9</v>
      </c>
      <c r="B13" s="6" t="s">
        <v>221</v>
      </c>
      <c r="C13" s="7">
        <v>45992</v>
      </c>
      <c r="D13" s="6" t="s">
        <v>6</v>
      </c>
      <c r="E13" s="8">
        <v>82350</v>
      </c>
      <c r="F13" s="6" t="s">
        <v>8</v>
      </c>
      <c r="G13" s="6" t="s">
        <v>222</v>
      </c>
    </row>
    <row r="14" spans="1:7" x14ac:dyDescent="0.25">
      <c r="A14" s="9">
        <v>10</v>
      </c>
      <c r="B14" s="6" t="s">
        <v>223</v>
      </c>
      <c r="C14" s="7">
        <v>45992</v>
      </c>
      <c r="D14" s="6" t="s">
        <v>6</v>
      </c>
      <c r="E14" s="8">
        <v>63085</v>
      </c>
      <c r="F14" s="6" t="s">
        <v>8</v>
      </c>
      <c r="G14" s="6" t="s">
        <v>224</v>
      </c>
    </row>
    <row r="15" spans="1:7" x14ac:dyDescent="0.25">
      <c r="A15" s="9">
        <v>11</v>
      </c>
      <c r="B15" s="6" t="s">
        <v>225</v>
      </c>
      <c r="C15" s="7">
        <v>45992</v>
      </c>
      <c r="D15" s="6" t="s">
        <v>6</v>
      </c>
      <c r="E15" s="8">
        <v>4327915</v>
      </c>
      <c r="F15" s="6" t="s">
        <v>8</v>
      </c>
      <c r="G15" s="6" t="s">
        <v>226</v>
      </c>
    </row>
    <row r="16" spans="1:7" x14ac:dyDescent="0.25">
      <c r="A16" s="9">
        <v>12</v>
      </c>
      <c r="B16" s="6" t="s">
        <v>227</v>
      </c>
      <c r="C16" s="7">
        <v>45992</v>
      </c>
      <c r="D16" s="6" t="s">
        <v>6</v>
      </c>
      <c r="E16" s="8">
        <v>19862</v>
      </c>
      <c r="F16" s="6" t="s">
        <v>8</v>
      </c>
      <c r="G16" s="6" t="s">
        <v>228</v>
      </c>
    </row>
    <row r="17" spans="1:7" x14ac:dyDescent="0.25">
      <c r="A17" s="9">
        <v>13</v>
      </c>
      <c r="B17" s="6" t="s">
        <v>229</v>
      </c>
      <c r="C17" s="7">
        <v>45992</v>
      </c>
      <c r="D17" s="6" t="s">
        <v>6</v>
      </c>
      <c r="E17" s="8">
        <v>20750</v>
      </c>
      <c r="F17" s="6" t="s">
        <v>8</v>
      </c>
      <c r="G17" s="6" t="s">
        <v>230</v>
      </c>
    </row>
    <row r="18" spans="1:7" x14ac:dyDescent="0.25">
      <c r="A18" s="9">
        <v>14</v>
      </c>
      <c r="B18" s="6" t="s">
        <v>231</v>
      </c>
      <c r="C18" s="7">
        <v>45992</v>
      </c>
      <c r="D18" s="6" t="s">
        <v>6</v>
      </c>
      <c r="E18" s="8">
        <v>265625</v>
      </c>
      <c r="F18" s="6" t="s">
        <v>8</v>
      </c>
      <c r="G18" s="6" t="s">
        <v>232</v>
      </c>
    </row>
    <row r="19" spans="1:7" x14ac:dyDescent="0.25">
      <c r="A19" s="9">
        <v>15</v>
      </c>
      <c r="B19" s="6" t="s">
        <v>233</v>
      </c>
      <c r="C19" s="7">
        <v>45992</v>
      </c>
      <c r="D19" s="6" t="s">
        <v>6</v>
      </c>
      <c r="E19" s="8">
        <v>139550</v>
      </c>
      <c r="F19" s="6" t="s">
        <v>8</v>
      </c>
      <c r="G19" s="6" t="s">
        <v>234</v>
      </c>
    </row>
    <row r="20" spans="1:7" x14ac:dyDescent="0.25">
      <c r="A20" s="9">
        <v>16</v>
      </c>
      <c r="B20" s="6" t="s">
        <v>235</v>
      </c>
      <c r="C20" s="7">
        <v>45992</v>
      </c>
      <c r="D20" s="6" t="s">
        <v>6</v>
      </c>
      <c r="E20" s="8">
        <v>82350</v>
      </c>
      <c r="F20" s="6" t="s">
        <v>8</v>
      </c>
      <c r="G20" s="6" t="s">
        <v>236</v>
      </c>
    </row>
    <row r="21" spans="1:7" x14ac:dyDescent="0.25">
      <c r="A21" s="9">
        <v>17</v>
      </c>
      <c r="B21" s="6" t="s">
        <v>237</v>
      </c>
      <c r="C21" s="7">
        <v>45992</v>
      </c>
      <c r="D21" s="6" t="s">
        <v>6</v>
      </c>
      <c r="E21" s="8">
        <v>20750</v>
      </c>
      <c r="F21" s="6" t="s">
        <v>8</v>
      </c>
      <c r="G21" s="6" t="s">
        <v>238</v>
      </c>
    </row>
    <row r="22" spans="1:7" x14ac:dyDescent="0.25">
      <c r="A22" s="9">
        <v>18</v>
      </c>
      <c r="B22" s="6" t="s">
        <v>239</v>
      </c>
      <c r="C22" s="7">
        <v>45992</v>
      </c>
      <c r="D22" s="6" t="s">
        <v>6</v>
      </c>
      <c r="E22" s="8">
        <v>20750</v>
      </c>
      <c r="F22" s="6" t="s">
        <v>8</v>
      </c>
      <c r="G22" s="6" t="s">
        <v>240</v>
      </c>
    </row>
    <row r="23" spans="1:7" x14ac:dyDescent="0.25">
      <c r="A23" s="9">
        <v>19</v>
      </c>
      <c r="B23" s="6" t="s">
        <v>241</v>
      </c>
      <c r="C23" s="7">
        <v>45992</v>
      </c>
      <c r="D23" s="6" t="s">
        <v>6</v>
      </c>
      <c r="E23" s="8">
        <v>20750</v>
      </c>
      <c r="F23" s="6" t="s">
        <v>8</v>
      </c>
      <c r="G23" s="6" t="s">
        <v>242</v>
      </c>
    </row>
    <row r="24" spans="1:7" x14ac:dyDescent="0.25">
      <c r="A24" s="9">
        <v>20</v>
      </c>
      <c r="B24" s="6" t="s">
        <v>243</v>
      </c>
      <c r="C24" s="7">
        <v>45992</v>
      </c>
      <c r="D24" s="6" t="s">
        <v>6</v>
      </c>
      <c r="E24" s="8">
        <v>135460</v>
      </c>
      <c r="F24" s="6" t="s">
        <v>8</v>
      </c>
      <c r="G24" s="6" t="s">
        <v>244</v>
      </c>
    </row>
    <row r="25" spans="1:7" x14ac:dyDescent="0.25">
      <c r="A25" s="9">
        <v>21</v>
      </c>
      <c r="B25" s="6" t="s">
        <v>245</v>
      </c>
      <c r="C25" s="7">
        <v>45993</v>
      </c>
      <c r="D25" s="6" t="s">
        <v>6</v>
      </c>
      <c r="E25" s="8">
        <v>40990</v>
      </c>
      <c r="F25" s="6" t="s">
        <v>8</v>
      </c>
      <c r="G25" s="6" t="s">
        <v>246</v>
      </c>
    </row>
    <row r="26" spans="1:7" x14ac:dyDescent="0.25">
      <c r="A26" s="9">
        <v>22</v>
      </c>
      <c r="B26" s="6" t="s">
        <v>247</v>
      </c>
      <c r="C26" s="7">
        <v>45993</v>
      </c>
      <c r="D26" s="6" t="s">
        <v>6</v>
      </c>
      <c r="E26" s="8">
        <v>12830</v>
      </c>
      <c r="F26" s="6" t="s">
        <v>8</v>
      </c>
      <c r="G26" s="6" t="s">
        <v>248</v>
      </c>
    </row>
    <row r="27" spans="1:7" x14ac:dyDescent="0.25">
      <c r="A27" s="9">
        <v>23</v>
      </c>
      <c r="B27" s="6" t="s">
        <v>249</v>
      </c>
      <c r="C27" s="7">
        <v>45993</v>
      </c>
      <c r="D27" s="6" t="s">
        <v>6</v>
      </c>
      <c r="E27" s="8">
        <v>139550</v>
      </c>
      <c r="F27" s="6" t="s">
        <v>8</v>
      </c>
      <c r="G27" s="6" t="s">
        <v>250</v>
      </c>
    </row>
    <row r="28" spans="1:7" x14ac:dyDescent="0.25">
      <c r="A28" s="9">
        <v>24</v>
      </c>
      <c r="B28" s="6" t="s">
        <v>251</v>
      </c>
      <c r="C28" s="7">
        <v>45993</v>
      </c>
      <c r="D28" s="6" t="s">
        <v>6</v>
      </c>
      <c r="E28" s="8">
        <v>157431</v>
      </c>
      <c r="F28" s="6" t="s">
        <v>8</v>
      </c>
      <c r="G28" s="6" t="s">
        <v>252</v>
      </c>
    </row>
    <row r="29" spans="1:7" x14ac:dyDescent="0.25">
      <c r="A29" s="9">
        <v>25</v>
      </c>
      <c r="B29" s="6" t="s">
        <v>253</v>
      </c>
      <c r="C29" s="7">
        <v>45993</v>
      </c>
      <c r="D29" s="6" t="s">
        <v>6</v>
      </c>
      <c r="E29" s="8">
        <v>63085</v>
      </c>
      <c r="F29" s="6" t="s">
        <v>8</v>
      </c>
      <c r="G29" s="6" t="s">
        <v>254</v>
      </c>
    </row>
    <row r="30" spans="1:7" x14ac:dyDescent="0.25">
      <c r="A30" s="9">
        <v>26</v>
      </c>
      <c r="B30" s="6" t="s">
        <v>255</v>
      </c>
      <c r="C30" s="7">
        <v>45993</v>
      </c>
      <c r="D30" s="6" t="s">
        <v>6</v>
      </c>
      <c r="E30" s="8">
        <v>19640</v>
      </c>
      <c r="F30" s="6" t="s">
        <v>8</v>
      </c>
      <c r="G30" s="6" t="s">
        <v>256</v>
      </c>
    </row>
    <row r="31" spans="1:7" x14ac:dyDescent="0.25">
      <c r="A31" s="9">
        <v>27</v>
      </c>
      <c r="B31" s="6" t="s">
        <v>257</v>
      </c>
      <c r="C31" s="7">
        <v>45993</v>
      </c>
      <c r="D31" s="6" t="s">
        <v>6</v>
      </c>
      <c r="E31" s="8">
        <v>152750</v>
      </c>
      <c r="F31" s="6" t="s">
        <v>8</v>
      </c>
      <c r="G31" s="6" t="s">
        <v>258</v>
      </c>
    </row>
    <row r="32" spans="1:7" x14ac:dyDescent="0.25">
      <c r="A32" s="9">
        <v>28</v>
      </c>
      <c r="B32" s="6" t="s">
        <v>259</v>
      </c>
      <c r="C32" s="7">
        <v>45993</v>
      </c>
      <c r="D32" s="6" t="s">
        <v>6</v>
      </c>
      <c r="E32" s="8">
        <v>12475</v>
      </c>
      <c r="F32" s="6" t="s">
        <v>8</v>
      </c>
      <c r="G32" s="6" t="s">
        <v>260</v>
      </c>
    </row>
    <row r="33" spans="1:7" x14ac:dyDescent="0.25">
      <c r="A33" s="9">
        <v>29</v>
      </c>
      <c r="B33" s="6" t="s">
        <v>261</v>
      </c>
      <c r="C33" s="7">
        <v>45994</v>
      </c>
      <c r="D33" s="6" t="s">
        <v>6</v>
      </c>
      <c r="E33" s="8">
        <v>12475</v>
      </c>
      <c r="F33" s="6" t="s">
        <v>8</v>
      </c>
      <c r="G33" s="6" t="s">
        <v>262</v>
      </c>
    </row>
    <row r="34" spans="1:7" x14ac:dyDescent="0.25">
      <c r="A34" s="9">
        <v>30</v>
      </c>
      <c r="B34" s="6" t="s">
        <v>263</v>
      </c>
      <c r="C34" s="7">
        <v>45994</v>
      </c>
      <c r="D34" s="6" t="s">
        <v>6</v>
      </c>
      <c r="E34" s="8">
        <v>42750</v>
      </c>
      <c r="F34" s="6" t="s">
        <v>8</v>
      </c>
      <c r="G34" s="6" t="s">
        <v>264</v>
      </c>
    </row>
    <row r="35" spans="1:7" x14ac:dyDescent="0.25">
      <c r="A35" s="9">
        <v>31</v>
      </c>
      <c r="B35" s="6" t="s">
        <v>265</v>
      </c>
      <c r="C35" s="7">
        <v>45994</v>
      </c>
      <c r="D35" s="6" t="s">
        <v>6</v>
      </c>
      <c r="E35" s="8">
        <v>20750</v>
      </c>
      <c r="F35" s="6" t="s">
        <v>8</v>
      </c>
      <c r="G35" s="6" t="s">
        <v>266</v>
      </c>
    </row>
    <row r="36" spans="1:7" x14ac:dyDescent="0.25">
      <c r="A36" s="9">
        <v>32</v>
      </c>
      <c r="B36" s="6" t="s">
        <v>267</v>
      </c>
      <c r="C36" s="7">
        <v>45994</v>
      </c>
      <c r="D36" s="6" t="s">
        <v>6</v>
      </c>
      <c r="E36" s="8">
        <v>20750</v>
      </c>
      <c r="F36" s="6" t="s">
        <v>8</v>
      </c>
      <c r="G36" s="6" t="s">
        <v>268</v>
      </c>
    </row>
    <row r="37" spans="1:7" x14ac:dyDescent="0.25">
      <c r="A37" s="9">
        <v>33</v>
      </c>
      <c r="B37" s="6" t="s">
        <v>269</v>
      </c>
      <c r="C37" s="7">
        <v>45994</v>
      </c>
      <c r="D37" s="6" t="s">
        <v>6</v>
      </c>
      <c r="E37" s="8">
        <v>20750</v>
      </c>
      <c r="F37" s="6" t="s">
        <v>8</v>
      </c>
      <c r="G37" s="6" t="s">
        <v>270</v>
      </c>
    </row>
    <row r="38" spans="1:7" x14ac:dyDescent="0.25">
      <c r="A38" s="9">
        <v>34</v>
      </c>
      <c r="B38" s="6" t="s">
        <v>271</v>
      </c>
      <c r="C38" s="7">
        <v>45994</v>
      </c>
      <c r="D38" s="6" t="s">
        <v>6</v>
      </c>
      <c r="E38" s="8">
        <v>743375</v>
      </c>
      <c r="F38" s="6" t="s">
        <v>8</v>
      </c>
      <c r="G38" s="6" t="s">
        <v>272</v>
      </c>
    </row>
    <row r="39" spans="1:7" x14ac:dyDescent="0.25">
      <c r="A39" s="9">
        <v>35</v>
      </c>
      <c r="B39" s="6" t="s">
        <v>273</v>
      </c>
      <c r="C39" s="7">
        <v>45994</v>
      </c>
      <c r="D39" s="6" t="s">
        <v>6</v>
      </c>
      <c r="E39" s="8">
        <v>46600</v>
      </c>
      <c r="F39" s="6" t="s">
        <v>8</v>
      </c>
      <c r="G39" s="6" t="s">
        <v>274</v>
      </c>
    </row>
    <row r="40" spans="1:7" x14ac:dyDescent="0.25">
      <c r="A40" s="9">
        <v>36</v>
      </c>
      <c r="B40" s="6" t="s">
        <v>275</v>
      </c>
      <c r="C40" s="7">
        <v>45994</v>
      </c>
      <c r="D40" s="6" t="s">
        <v>6</v>
      </c>
      <c r="E40" s="8">
        <v>12830</v>
      </c>
      <c r="F40" s="6" t="s">
        <v>8</v>
      </c>
      <c r="G40" s="6" t="s">
        <v>276</v>
      </c>
    </row>
    <row r="41" spans="1:7" x14ac:dyDescent="0.25">
      <c r="A41" s="9">
        <v>37</v>
      </c>
      <c r="B41" s="6" t="s">
        <v>277</v>
      </c>
      <c r="C41" s="7">
        <v>45994</v>
      </c>
      <c r="D41" s="6" t="s">
        <v>6</v>
      </c>
      <c r="E41" s="8">
        <v>382875</v>
      </c>
      <c r="F41" s="6" t="s">
        <v>8</v>
      </c>
      <c r="G41" s="6" t="s">
        <v>278</v>
      </c>
    </row>
    <row r="42" spans="1:7" x14ac:dyDescent="0.25">
      <c r="A42" s="9">
        <v>38</v>
      </c>
      <c r="B42" s="6" t="s">
        <v>279</v>
      </c>
      <c r="C42" s="7">
        <v>45994</v>
      </c>
      <c r="D42" s="6" t="s">
        <v>6</v>
      </c>
      <c r="E42" s="8">
        <v>20750</v>
      </c>
      <c r="F42" s="6" t="s">
        <v>8</v>
      </c>
      <c r="G42" s="6" t="s">
        <v>280</v>
      </c>
    </row>
    <row r="43" spans="1:7" x14ac:dyDescent="0.25">
      <c r="A43" s="9">
        <v>39</v>
      </c>
      <c r="B43" s="6" t="s">
        <v>281</v>
      </c>
      <c r="C43" s="7">
        <v>45994</v>
      </c>
      <c r="D43" s="6" t="s">
        <v>6</v>
      </c>
      <c r="E43" s="8">
        <v>82350</v>
      </c>
      <c r="F43" s="6" t="s">
        <v>8</v>
      </c>
      <c r="G43" s="6" t="s">
        <v>282</v>
      </c>
    </row>
    <row r="44" spans="1:7" x14ac:dyDescent="0.25">
      <c r="A44" s="9">
        <v>40</v>
      </c>
      <c r="B44" s="6" t="s">
        <v>283</v>
      </c>
      <c r="C44" s="7">
        <v>45994</v>
      </c>
      <c r="D44" s="6" t="s">
        <v>6</v>
      </c>
      <c r="E44" s="8">
        <v>130750</v>
      </c>
      <c r="F44" s="6" t="s">
        <v>8</v>
      </c>
      <c r="G44" s="6" t="s">
        <v>284</v>
      </c>
    </row>
    <row r="45" spans="1:7" x14ac:dyDescent="0.25">
      <c r="A45" s="9">
        <v>41</v>
      </c>
      <c r="B45" s="6" t="s">
        <v>285</v>
      </c>
      <c r="C45" s="7">
        <v>45994</v>
      </c>
      <c r="D45" s="6" t="s">
        <v>6</v>
      </c>
      <c r="E45" s="8">
        <v>366250</v>
      </c>
      <c r="F45" s="6" t="s">
        <v>8</v>
      </c>
      <c r="G45" s="6" t="s">
        <v>286</v>
      </c>
    </row>
    <row r="46" spans="1:7" x14ac:dyDescent="0.25">
      <c r="A46" s="9">
        <v>42</v>
      </c>
      <c r="B46" s="6" t="s">
        <v>287</v>
      </c>
      <c r="C46" s="7">
        <v>45994</v>
      </c>
      <c r="D46" s="6" t="s">
        <v>6</v>
      </c>
      <c r="E46" s="8">
        <v>51250</v>
      </c>
      <c r="F46" s="6" t="s">
        <v>8</v>
      </c>
      <c r="G46" s="6" t="s">
        <v>288</v>
      </c>
    </row>
    <row r="47" spans="1:7" x14ac:dyDescent="0.25">
      <c r="A47" s="9">
        <v>43</v>
      </c>
      <c r="B47" s="6" t="s">
        <v>289</v>
      </c>
      <c r="C47" s="7">
        <v>45995</v>
      </c>
      <c r="D47" s="6" t="s">
        <v>6</v>
      </c>
      <c r="E47" s="8">
        <v>20750</v>
      </c>
      <c r="F47" s="6" t="s">
        <v>8</v>
      </c>
      <c r="G47" s="6" t="s">
        <v>290</v>
      </c>
    </row>
    <row r="48" spans="1:7" x14ac:dyDescent="0.25">
      <c r="A48" s="9">
        <v>44</v>
      </c>
      <c r="B48" s="6" t="s">
        <v>291</v>
      </c>
      <c r="C48" s="7">
        <v>45995</v>
      </c>
      <c r="D48" s="6" t="s">
        <v>6</v>
      </c>
      <c r="E48" s="8">
        <v>80241</v>
      </c>
      <c r="F48" s="6" t="s">
        <v>8</v>
      </c>
      <c r="G48" s="6" t="s">
        <v>292</v>
      </c>
    </row>
    <row r="49" spans="1:7" x14ac:dyDescent="0.25">
      <c r="A49" s="9">
        <v>45</v>
      </c>
      <c r="B49" s="6" t="s">
        <v>293</v>
      </c>
      <c r="C49" s="7">
        <v>45995</v>
      </c>
      <c r="D49" s="6" t="s">
        <v>6</v>
      </c>
      <c r="E49" s="8">
        <v>26200</v>
      </c>
      <c r="F49" s="6" t="s">
        <v>8</v>
      </c>
      <c r="G49" s="6" t="s">
        <v>294</v>
      </c>
    </row>
    <row r="50" spans="1:7" x14ac:dyDescent="0.25">
      <c r="A50" s="9">
        <v>46</v>
      </c>
      <c r="B50" s="6" t="s">
        <v>295</v>
      </c>
      <c r="C50" s="7">
        <v>45995</v>
      </c>
      <c r="D50" s="6" t="s">
        <v>6</v>
      </c>
      <c r="E50" s="8">
        <v>139550</v>
      </c>
      <c r="F50" s="6" t="s">
        <v>8</v>
      </c>
      <c r="G50" s="6" t="s">
        <v>296</v>
      </c>
    </row>
    <row r="51" spans="1:7" x14ac:dyDescent="0.25">
      <c r="A51" s="9">
        <v>47</v>
      </c>
      <c r="B51" s="6" t="s">
        <v>297</v>
      </c>
      <c r="C51" s="7">
        <v>45995</v>
      </c>
      <c r="D51" s="6" t="s">
        <v>6</v>
      </c>
      <c r="E51" s="8">
        <v>423125</v>
      </c>
      <c r="F51" s="6" t="s">
        <v>349</v>
      </c>
      <c r="G51" s="6" t="s">
        <v>298</v>
      </c>
    </row>
    <row r="52" spans="1:7" x14ac:dyDescent="0.25">
      <c r="A52" s="9">
        <v>48</v>
      </c>
      <c r="B52" s="6" t="s">
        <v>299</v>
      </c>
      <c r="C52" s="7">
        <v>45995</v>
      </c>
      <c r="D52" s="6" t="s">
        <v>6</v>
      </c>
      <c r="E52" s="8">
        <v>49918</v>
      </c>
      <c r="F52" s="6" t="s">
        <v>8</v>
      </c>
      <c r="G52" s="6" t="s">
        <v>300</v>
      </c>
    </row>
    <row r="53" spans="1:7" x14ac:dyDescent="0.25">
      <c r="A53" s="9">
        <v>49</v>
      </c>
      <c r="B53" s="6" t="s">
        <v>301</v>
      </c>
      <c r="C53" s="7">
        <v>45995</v>
      </c>
      <c r="D53" s="6" t="s">
        <v>6</v>
      </c>
      <c r="E53" s="8">
        <v>1333125</v>
      </c>
      <c r="F53" s="6" t="s">
        <v>8</v>
      </c>
      <c r="G53" s="6" t="s">
        <v>302</v>
      </c>
    </row>
    <row r="54" spans="1:7" x14ac:dyDescent="0.25">
      <c r="A54" s="9">
        <v>50</v>
      </c>
      <c r="B54" s="6" t="s">
        <v>303</v>
      </c>
      <c r="C54" s="7">
        <v>45995</v>
      </c>
      <c r="D54" s="6" t="s">
        <v>6</v>
      </c>
      <c r="E54" s="8">
        <v>1066250</v>
      </c>
      <c r="F54" s="6" t="s">
        <v>8</v>
      </c>
      <c r="G54" s="6" t="s">
        <v>304</v>
      </c>
    </row>
    <row r="55" spans="1:7" x14ac:dyDescent="0.25">
      <c r="A55" s="9">
        <v>51</v>
      </c>
      <c r="B55" s="6" t="s">
        <v>305</v>
      </c>
      <c r="C55" s="7">
        <v>45995</v>
      </c>
      <c r="D55" s="6" t="s">
        <v>6</v>
      </c>
      <c r="E55" s="8">
        <v>103750</v>
      </c>
      <c r="F55" s="6" t="s">
        <v>8</v>
      </c>
      <c r="G55" s="6" t="s">
        <v>306</v>
      </c>
    </row>
    <row r="56" spans="1:7" x14ac:dyDescent="0.25">
      <c r="A56" s="9">
        <v>52</v>
      </c>
      <c r="B56" s="6" t="s">
        <v>307</v>
      </c>
      <c r="C56" s="7">
        <v>45995</v>
      </c>
      <c r="D56" s="6" t="s">
        <v>6</v>
      </c>
      <c r="E56" s="8">
        <v>108750</v>
      </c>
      <c r="F56" s="6" t="s">
        <v>8</v>
      </c>
      <c r="G56" s="6" t="s">
        <v>308</v>
      </c>
    </row>
    <row r="57" spans="1:7" x14ac:dyDescent="0.25">
      <c r="A57" s="9">
        <v>53</v>
      </c>
      <c r="B57" s="6" t="s">
        <v>309</v>
      </c>
      <c r="C57" s="7">
        <v>45995</v>
      </c>
      <c r="D57" s="6" t="s">
        <v>6</v>
      </c>
      <c r="E57" s="8">
        <v>80463</v>
      </c>
      <c r="F57" s="6" t="s">
        <v>8</v>
      </c>
      <c r="G57" s="6" t="s">
        <v>310</v>
      </c>
    </row>
    <row r="58" spans="1:7" x14ac:dyDescent="0.25">
      <c r="A58" s="9">
        <v>54</v>
      </c>
      <c r="B58" s="6" t="s">
        <v>311</v>
      </c>
      <c r="C58" s="7">
        <v>45995</v>
      </c>
      <c r="D58" s="6" t="s">
        <v>6</v>
      </c>
      <c r="E58" s="8">
        <v>26267</v>
      </c>
      <c r="F58" s="6" t="s">
        <v>8</v>
      </c>
      <c r="G58" s="6" t="s">
        <v>312</v>
      </c>
    </row>
    <row r="59" spans="1:7" x14ac:dyDescent="0.25">
      <c r="A59" s="9">
        <v>55</v>
      </c>
      <c r="B59" s="6" t="s">
        <v>313</v>
      </c>
      <c r="C59" s="7">
        <v>45995</v>
      </c>
      <c r="D59" s="6" t="s">
        <v>6</v>
      </c>
      <c r="E59" s="8">
        <v>55070</v>
      </c>
      <c r="F59" s="6" t="s">
        <v>8</v>
      </c>
      <c r="G59" s="6" t="s">
        <v>314</v>
      </c>
    </row>
    <row r="60" spans="1:7" x14ac:dyDescent="0.25">
      <c r="A60" s="9">
        <v>56</v>
      </c>
      <c r="B60" s="6" t="s">
        <v>315</v>
      </c>
      <c r="C60" s="7">
        <v>45995</v>
      </c>
      <c r="D60" s="6" t="s">
        <v>6</v>
      </c>
      <c r="E60" s="8">
        <v>300880</v>
      </c>
      <c r="F60" s="6" t="s">
        <v>8</v>
      </c>
      <c r="G60" s="6" t="s">
        <v>316</v>
      </c>
    </row>
    <row r="61" spans="1:7" ht="15" customHeight="1" x14ac:dyDescent="0.25">
      <c r="A61" s="9">
        <v>57</v>
      </c>
      <c r="B61" s="2" t="s">
        <v>319</v>
      </c>
      <c r="C61" s="3">
        <v>45991</v>
      </c>
      <c r="D61" s="6" t="s">
        <v>72</v>
      </c>
      <c r="E61" s="21">
        <v>482750</v>
      </c>
      <c r="F61" s="2" t="s">
        <v>8</v>
      </c>
      <c r="G61" s="2" t="s">
        <v>320</v>
      </c>
    </row>
    <row r="62" spans="1:7" ht="15" customHeight="1" x14ac:dyDescent="0.25">
      <c r="A62" s="9">
        <v>58</v>
      </c>
      <c r="B62" s="2" t="s">
        <v>321</v>
      </c>
      <c r="C62" s="3">
        <v>45992</v>
      </c>
      <c r="D62" s="6" t="s">
        <v>72</v>
      </c>
      <c r="E62" s="21">
        <v>13422</v>
      </c>
      <c r="F62" s="2" t="s">
        <v>8</v>
      </c>
      <c r="G62" s="2" t="s">
        <v>322</v>
      </c>
    </row>
    <row r="63" spans="1:7" ht="15" customHeight="1" x14ac:dyDescent="0.25">
      <c r="A63" s="9">
        <v>59</v>
      </c>
      <c r="B63" s="2" t="s">
        <v>323</v>
      </c>
      <c r="C63" s="3">
        <v>45992</v>
      </c>
      <c r="D63" s="6" t="s">
        <v>72</v>
      </c>
      <c r="E63" s="21">
        <v>597150</v>
      </c>
      <c r="F63" s="2" t="s">
        <v>8</v>
      </c>
      <c r="G63" s="2" t="s">
        <v>324</v>
      </c>
    </row>
    <row r="64" spans="1:7" ht="15" customHeight="1" x14ac:dyDescent="0.25">
      <c r="A64" s="9">
        <v>60</v>
      </c>
      <c r="B64" s="2" t="s">
        <v>325</v>
      </c>
      <c r="C64" s="3">
        <v>45992</v>
      </c>
      <c r="D64" s="6" t="s">
        <v>72</v>
      </c>
      <c r="E64" s="21">
        <v>44600</v>
      </c>
      <c r="F64" s="2" t="s">
        <v>8</v>
      </c>
      <c r="G64" s="2" t="s">
        <v>326</v>
      </c>
    </row>
    <row r="65" spans="1:8" ht="15" customHeight="1" x14ac:dyDescent="0.25">
      <c r="A65" s="9">
        <v>61</v>
      </c>
      <c r="B65" s="2" t="s">
        <v>327</v>
      </c>
      <c r="C65" s="3">
        <v>45992</v>
      </c>
      <c r="D65" s="2" t="s">
        <v>72</v>
      </c>
      <c r="E65" s="21">
        <v>28094</v>
      </c>
      <c r="F65" s="2" t="s">
        <v>8</v>
      </c>
      <c r="G65" s="2" t="s">
        <v>328</v>
      </c>
    </row>
    <row r="66" spans="1:8" ht="15" customHeight="1" x14ac:dyDescent="0.25">
      <c r="A66" s="9">
        <v>62</v>
      </c>
      <c r="B66" s="2" t="s">
        <v>329</v>
      </c>
      <c r="C66" s="3">
        <v>45993</v>
      </c>
      <c r="D66" s="6" t="s">
        <v>72</v>
      </c>
      <c r="E66" s="21">
        <v>1353950</v>
      </c>
      <c r="F66" s="2" t="s">
        <v>8</v>
      </c>
      <c r="G66" s="2" t="s">
        <v>330</v>
      </c>
    </row>
    <row r="67" spans="1:8" ht="15" customHeight="1" x14ac:dyDescent="0.25">
      <c r="A67" s="9">
        <v>63</v>
      </c>
      <c r="B67" s="2" t="s">
        <v>331</v>
      </c>
      <c r="C67" s="3">
        <v>45993</v>
      </c>
      <c r="D67" s="6" t="s">
        <v>72</v>
      </c>
      <c r="E67" s="21">
        <v>2511550</v>
      </c>
      <c r="F67" s="2" t="s">
        <v>8</v>
      </c>
      <c r="G67" s="2" t="s">
        <v>332</v>
      </c>
    </row>
    <row r="68" spans="1:8" ht="15" customHeight="1" x14ac:dyDescent="0.25">
      <c r="A68" s="9">
        <v>64</v>
      </c>
      <c r="B68" s="2" t="s">
        <v>333</v>
      </c>
      <c r="C68" s="3">
        <v>45993</v>
      </c>
      <c r="D68" s="6" t="s">
        <v>72</v>
      </c>
      <c r="E68" s="21">
        <v>227550</v>
      </c>
      <c r="F68" s="2" t="s">
        <v>8</v>
      </c>
      <c r="G68" s="2" t="s">
        <v>334</v>
      </c>
    </row>
    <row r="69" spans="1:8" ht="15" customHeight="1" x14ac:dyDescent="0.25">
      <c r="A69" s="9">
        <v>65</v>
      </c>
      <c r="B69" s="2" t="s">
        <v>335</v>
      </c>
      <c r="C69" s="3">
        <v>45995</v>
      </c>
      <c r="D69" s="6" t="s">
        <v>72</v>
      </c>
      <c r="E69" s="21">
        <v>21675</v>
      </c>
      <c r="F69" s="2" t="s">
        <v>8</v>
      </c>
      <c r="G69" s="2" t="s">
        <v>336</v>
      </c>
    </row>
    <row r="70" spans="1:8" ht="15" customHeight="1" x14ac:dyDescent="0.25">
      <c r="A70" s="9">
        <v>66</v>
      </c>
      <c r="B70" s="2" t="s">
        <v>337</v>
      </c>
      <c r="C70" s="3">
        <v>45995</v>
      </c>
      <c r="D70" s="2" t="s">
        <v>72</v>
      </c>
      <c r="E70" s="21">
        <v>485950</v>
      </c>
      <c r="F70" s="2" t="s">
        <v>8</v>
      </c>
      <c r="G70" s="2" t="s">
        <v>338</v>
      </c>
    </row>
    <row r="71" spans="1:8" ht="15" customHeight="1" x14ac:dyDescent="0.25">
      <c r="A71" s="9">
        <v>67</v>
      </c>
      <c r="B71" s="2" t="s">
        <v>339</v>
      </c>
      <c r="C71" s="3">
        <v>45995</v>
      </c>
      <c r="D71" s="2" t="s">
        <v>72</v>
      </c>
      <c r="E71" s="21">
        <v>21674</v>
      </c>
      <c r="F71" s="2" t="s">
        <v>8</v>
      </c>
      <c r="G71" s="2" t="s">
        <v>340</v>
      </c>
    </row>
    <row r="72" spans="1:8" ht="15" customHeight="1" x14ac:dyDescent="0.25">
      <c r="A72" s="9">
        <v>68</v>
      </c>
      <c r="B72" s="2" t="s">
        <v>341</v>
      </c>
      <c r="C72" s="3">
        <v>45995</v>
      </c>
      <c r="D72" s="2" t="s">
        <v>72</v>
      </c>
      <c r="E72" s="21">
        <v>85865</v>
      </c>
      <c r="F72" s="2" t="s">
        <v>8</v>
      </c>
      <c r="G72" s="2" t="s">
        <v>342</v>
      </c>
    </row>
    <row r="73" spans="1:8" ht="15" customHeight="1" x14ac:dyDescent="0.25">
      <c r="A73" s="9">
        <v>69</v>
      </c>
      <c r="B73" s="2" t="s">
        <v>343</v>
      </c>
      <c r="C73" s="3">
        <v>45995</v>
      </c>
      <c r="D73" s="2" t="s">
        <v>72</v>
      </c>
      <c r="E73" s="21">
        <v>254395</v>
      </c>
      <c r="F73" s="2" t="s">
        <v>8</v>
      </c>
      <c r="G73" s="2" t="s">
        <v>344</v>
      </c>
    </row>
    <row r="74" spans="1:8" ht="15" customHeight="1" x14ac:dyDescent="0.25">
      <c r="A74" s="9">
        <v>70</v>
      </c>
      <c r="B74" s="2" t="s">
        <v>345</v>
      </c>
      <c r="C74" s="3">
        <v>45995</v>
      </c>
      <c r="D74" s="2" t="s">
        <v>72</v>
      </c>
      <c r="E74" s="21">
        <v>21674</v>
      </c>
      <c r="F74" s="2" t="s">
        <v>8</v>
      </c>
      <c r="G74" s="2" t="s">
        <v>346</v>
      </c>
    </row>
    <row r="75" spans="1:8" x14ac:dyDescent="0.25">
      <c r="C75" s="51" t="s">
        <v>318</v>
      </c>
      <c r="D75" s="51"/>
      <c r="E75" s="22">
        <v>18474511</v>
      </c>
      <c r="F75" s="36"/>
      <c r="G75" s="40">
        <f>E75*15%</f>
        <v>2771176.65</v>
      </c>
    </row>
    <row r="76" spans="1:8" x14ac:dyDescent="0.25">
      <c r="C76" s="56">
        <v>45991</v>
      </c>
      <c r="D76" s="56"/>
      <c r="E76" s="57" t="s">
        <v>347</v>
      </c>
      <c r="F76" s="57"/>
      <c r="G76" s="39">
        <v>565000</v>
      </c>
    </row>
    <row r="77" spans="1:8" x14ac:dyDescent="0.25">
      <c r="C77" s="37"/>
      <c r="D77" s="37"/>
      <c r="F77" s="36"/>
      <c r="G77" s="25">
        <f>G75-G76</f>
        <v>2206176.65</v>
      </c>
    </row>
    <row r="78" spans="1:8" x14ac:dyDescent="0.25">
      <c r="C78" s="37"/>
      <c r="D78" s="37"/>
    </row>
    <row r="79" spans="1:8" x14ac:dyDescent="0.25">
      <c r="B79" s="19"/>
      <c r="C79" s="19"/>
      <c r="D79" s="19"/>
      <c r="E79" s="19"/>
      <c r="F79" s="19"/>
      <c r="G79" s="34"/>
    </row>
    <row r="80" spans="1:8" ht="15" customHeight="1" x14ac:dyDescent="0.25">
      <c r="A80" s="52" t="s">
        <v>348</v>
      </c>
      <c r="B80" s="52"/>
      <c r="C80" s="52"/>
      <c r="D80" s="52"/>
      <c r="E80" s="52"/>
      <c r="F80" s="52"/>
      <c r="G80" s="52"/>
      <c r="H80" s="42"/>
    </row>
    <row r="81" spans="1:8" ht="15" customHeight="1" x14ac:dyDescent="0.25">
      <c r="A81" s="52"/>
      <c r="B81" s="52"/>
      <c r="C81" s="52"/>
      <c r="D81" s="52"/>
      <c r="E81" s="52"/>
      <c r="F81" s="52"/>
      <c r="G81" s="52"/>
      <c r="H81" s="42"/>
    </row>
    <row r="82" spans="1:8" ht="15.75" x14ac:dyDescent="0.25">
      <c r="A82" s="53" t="s">
        <v>201</v>
      </c>
      <c r="B82" s="53"/>
      <c r="C82" s="53"/>
      <c r="D82" s="53"/>
      <c r="E82" s="53"/>
      <c r="F82" s="53"/>
      <c r="G82" s="53"/>
      <c r="H82" s="53"/>
    </row>
    <row r="83" spans="1:8" x14ac:dyDescent="0.25">
      <c r="A83" s="12" t="s">
        <v>202</v>
      </c>
      <c r="B83" s="28" t="s">
        <v>203</v>
      </c>
      <c r="C83" s="33" t="s">
        <v>1</v>
      </c>
      <c r="D83" s="28" t="s">
        <v>2</v>
      </c>
      <c r="E83" s="29" t="s">
        <v>3</v>
      </c>
      <c r="F83" s="10" t="s">
        <v>352</v>
      </c>
      <c r="G83" s="28" t="s">
        <v>5</v>
      </c>
      <c r="H83" s="28"/>
    </row>
    <row r="84" spans="1:8" x14ac:dyDescent="0.25">
      <c r="A84">
        <v>1</v>
      </c>
      <c r="B84" s="4" t="s">
        <v>91</v>
      </c>
      <c r="C84" s="31">
        <v>46010</v>
      </c>
      <c r="D84" s="4" t="s">
        <v>6</v>
      </c>
      <c r="E84" s="5">
        <v>139550</v>
      </c>
      <c r="F84" s="4" t="s">
        <v>8</v>
      </c>
      <c r="G84" s="6" t="s">
        <v>92</v>
      </c>
    </row>
    <row r="85" spans="1:8" x14ac:dyDescent="0.25">
      <c r="A85">
        <v>2</v>
      </c>
      <c r="B85" s="4" t="s">
        <v>93</v>
      </c>
      <c r="C85" s="31">
        <v>46010</v>
      </c>
      <c r="D85" s="4" t="s">
        <v>6</v>
      </c>
      <c r="E85" s="5">
        <v>40990</v>
      </c>
      <c r="F85" s="4" t="s">
        <v>8</v>
      </c>
      <c r="G85" s="6" t="s">
        <v>94</v>
      </c>
    </row>
    <row r="86" spans="1:8" x14ac:dyDescent="0.25">
      <c r="A86">
        <v>3</v>
      </c>
      <c r="B86" s="4" t="s">
        <v>95</v>
      </c>
      <c r="C86" s="31">
        <v>46010</v>
      </c>
      <c r="D86" s="4" t="s">
        <v>6</v>
      </c>
      <c r="E86" s="5">
        <v>40990</v>
      </c>
      <c r="F86" s="4" t="s">
        <v>8</v>
      </c>
      <c r="G86" s="6" t="s">
        <v>96</v>
      </c>
    </row>
    <row r="87" spans="1:8" x14ac:dyDescent="0.25">
      <c r="A87">
        <v>4</v>
      </c>
      <c r="B87" s="4" t="s">
        <v>97</v>
      </c>
      <c r="C87" s="31">
        <v>46010</v>
      </c>
      <c r="D87" s="4" t="s">
        <v>6</v>
      </c>
      <c r="E87" s="5">
        <v>20750</v>
      </c>
      <c r="F87" s="4" t="s">
        <v>8</v>
      </c>
      <c r="G87" s="6" t="s">
        <v>98</v>
      </c>
    </row>
    <row r="88" spans="1:8" x14ac:dyDescent="0.25">
      <c r="A88">
        <v>5</v>
      </c>
      <c r="B88" s="4" t="s">
        <v>99</v>
      </c>
      <c r="C88" s="31">
        <v>46010</v>
      </c>
      <c r="D88" s="4" t="s">
        <v>6</v>
      </c>
      <c r="E88" s="5">
        <v>69150</v>
      </c>
      <c r="F88" s="4" t="s">
        <v>8</v>
      </c>
      <c r="G88" s="6" t="s">
        <v>100</v>
      </c>
    </row>
    <row r="89" spans="1:8" x14ac:dyDescent="0.25">
      <c r="A89">
        <v>6</v>
      </c>
      <c r="B89" s="4" t="s">
        <v>101</v>
      </c>
      <c r="C89" s="31">
        <v>46010</v>
      </c>
      <c r="D89" s="4" t="s">
        <v>6</v>
      </c>
      <c r="E89" s="5">
        <v>20750</v>
      </c>
      <c r="F89" s="4" t="s">
        <v>8</v>
      </c>
      <c r="G89" s="6" t="s">
        <v>102</v>
      </c>
    </row>
    <row r="90" spans="1:8" x14ac:dyDescent="0.25">
      <c r="A90">
        <v>7</v>
      </c>
      <c r="B90" s="4" t="s">
        <v>103</v>
      </c>
      <c r="C90" s="31">
        <v>46011</v>
      </c>
      <c r="D90" s="4" t="s">
        <v>6</v>
      </c>
      <c r="E90" s="5">
        <v>12830</v>
      </c>
      <c r="F90" s="4" t="s">
        <v>8</v>
      </c>
      <c r="G90" s="6" t="s">
        <v>104</v>
      </c>
    </row>
    <row r="91" spans="1:8" x14ac:dyDescent="0.25">
      <c r="A91">
        <v>8</v>
      </c>
      <c r="B91" s="4" t="s">
        <v>105</v>
      </c>
      <c r="C91" s="31">
        <v>46011</v>
      </c>
      <c r="D91" s="4" t="s">
        <v>6</v>
      </c>
      <c r="E91" s="5">
        <v>42750</v>
      </c>
      <c r="F91" s="4" t="s">
        <v>8</v>
      </c>
      <c r="G91" s="6" t="s">
        <v>106</v>
      </c>
    </row>
    <row r="92" spans="1:8" x14ac:dyDescent="0.25">
      <c r="A92">
        <v>9</v>
      </c>
      <c r="B92" s="4" t="s">
        <v>107</v>
      </c>
      <c r="C92" s="31">
        <v>46013</v>
      </c>
      <c r="D92" s="4" t="s">
        <v>6</v>
      </c>
      <c r="E92" s="5">
        <v>165950</v>
      </c>
      <c r="F92" s="4" t="s">
        <v>8</v>
      </c>
      <c r="G92" s="6" t="s">
        <v>108</v>
      </c>
    </row>
    <row r="93" spans="1:8" x14ac:dyDescent="0.25">
      <c r="A93">
        <v>10</v>
      </c>
      <c r="B93" s="4" t="s">
        <v>109</v>
      </c>
      <c r="C93" s="31">
        <v>46013</v>
      </c>
      <c r="D93" s="4" t="s">
        <v>6</v>
      </c>
      <c r="E93" s="5">
        <v>20750</v>
      </c>
      <c r="F93" s="4" t="s">
        <v>8</v>
      </c>
      <c r="G93" s="6" t="s">
        <v>110</v>
      </c>
    </row>
    <row r="94" spans="1:8" x14ac:dyDescent="0.25">
      <c r="A94">
        <v>11</v>
      </c>
      <c r="B94" s="4" t="s">
        <v>111</v>
      </c>
      <c r="C94" s="31">
        <v>46013</v>
      </c>
      <c r="D94" s="4" t="s">
        <v>6</v>
      </c>
      <c r="E94" s="5">
        <v>152750</v>
      </c>
      <c r="F94" s="4" t="s">
        <v>8</v>
      </c>
      <c r="G94" s="6" t="s">
        <v>112</v>
      </c>
    </row>
    <row r="95" spans="1:8" x14ac:dyDescent="0.25">
      <c r="A95">
        <v>12</v>
      </c>
      <c r="B95" s="4" t="s">
        <v>113</v>
      </c>
      <c r="C95" s="31">
        <v>46013</v>
      </c>
      <c r="D95" s="4" t="s">
        <v>6</v>
      </c>
      <c r="E95" s="5">
        <v>130750</v>
      </c>
      <c r="F95" s="4" t="s">
        <v>8</v>
      </c>
      <c r="G95" s="6" t="s">
        <v>114</v>
      </c>
    </row>
    <row r="96" spans="1:8" x14ac:dyDescent="0.25">
      <c r="A96">
        <v>13</v>
      </c>
      <c r="B96" s="4" t="s">
        <v>115</v>
      </c>
      <c r="C96" s="31">
        <v>46013</v>
      </c>
      <c r="D96" s="4" t="s">
        <v>6</v>
      </c>
      <c r="E96" s="5">
        <v>42750</v>
      </c>
      <c r="F96" s="4" t="s">
        <v>8</v>
      </c>
      <c r="G96" s="6" t="s">
        <v>116</v>
      </c>
    </row>
    <row r="97" spans="1:7" x14ac:dyDescent="0.25">
      <c r="A97">
        <v>14</v>
      </c>
      <c r="B97" s="4" t="s">
        <v>117</v>
      </c>
      <c r="C97" s="31">
        <v>46013</v>
      </c>
      <c r="D97" s="4" t="s">
        <v>6</v>
      </c>
      <c r="E97" s="5">
        <v>455690</v>
      </c>
      <c r="F97" s="4" t="s">
        <v>8</v>
      </c>
      <c r="G97" s="6" t="s">
        <v>118</v>
      </c>
    </row>
    <row r="98" spans="1:7" x14ac:dyDescent="0.25">
      <c r="A98">
        <v>15</v>
      </c>
      <c r="B98" s="4" t="s">
        <v>119</v>
      </c>
      <c r="C98" s="31">
        <v>46013</v>
      </c>
      <c r="D98" s="4" t="s">
        <v>6</v>
      </c>
      <c r="E98" s="5">
        <v>82350</v>
      </c>
      <c r="F98" s="4" t="s">
        <v>8</v>
      </c>
      <c r="G98" s="6" t="s">
        <v>120</v>
      </c>
    </row>
    <row r="99" spans="1:7" x14ac:dyDescent="0.25">
      <c r="A99">
        <v>16</v>
      </c>
      <c r="B99" s="4" t="s">
        <v>121</v>
      </c>
      <c r="C99" s="31">
        <v>46013</v>
      </c>
      <c r="D99" s="4" t="s">
        <v>6</v>
      </c>
      <c r="E99" s="5">
        <v>12830</v>
      </c>
      <c r="F99" s="4" t="s">
        <v>8</v>
      </c>
      <c r="G99" s="6" t="s">
        <v>122</v>
      </c>
    </row>
    <row r="100" spans="1:7" x14ac:dyDescent="0.25">
      <c r="A100">
        <v>17</v>
      </c>
      <c r="B100" s="4" t="s">
        <v>123</v>
      </c>
      <c r="C100" s="31">
        <v>46013</v>
      </c>
      <c r="D100" s="4" t="s">
        <v>6</v>
      </c>
      <c r="E100" s="5">
        <v>20750</v>
      </c>
      <c r="F100" s="4" t="s">
        <v>8</v>
      </c>
      <c r="G100" s="6" t="s">
        <v>124</v>
      </c>
    </row>
    <row r="101" spans="1:7" x14ac:dyDescent="0.25">
      <c r="A101">
        <v>18</v>
      </c>
      <c r="B101" s="4" t="s">
        <v>125</v>
      </c>
      <c r="C101" s="31">
        <v>46013</v>
      </c>
      <c r="D101" s="4" t="s">
        <v>6</v>
      </c>
      <c r="E101" s="5">
        <v>82350</v>
      </c>
      <c r="F101" s="4" t="s">
        <v>8</v>
      </c>
      <c r="G101" s="6" t="s">
        <v>126</v>
      </c>
    </row>
    <row r="102" spans="1:7" x14ac:dyDescent="0.25">
      <c r="A102">
        <v>19</v>
      </c>
      <c r="B102" s="4" t="s">
        <v>127</v>
      </c>
      <c r="C102" s="31">
        <v>46014</v>
      </c>
      <c r="D102" s="4" t="s">
        <v>6</v>
      </c>
      <c r="E102" s="5">
        <v>535550</v>
      </c>
      <c r="F102" s="4" t="s">
        <v>8</v>
      </c>
      <c r="G102" s="6" t="s">
        <v>128</v>
      </c>
    </row>
    <row r="103" spans="1:7" x14ac:dyDescent="0.25">
      <c r="A103">
        <v>20</v>
      </c>
      <c r="B103" s="4" t="s">
        <v>129</v>
      </c>
      <c r="C103" s="31">
        <v>46014</v>
      </c>
      <c r="D103" s="4" t="s">
        <v>6</v>
      </c>
      <c r="E103" s="5">
        <v>25150</v>
      </c>
      <c r="F103" s="4" t="s">
        <v>8</v>
      </c>
      <c r="G103" s="6" t="s">
        <v>130</v>
      </c>
    </row>
    <row r="104" spans="1:7" x14ac:dyDescent="0.25">
      <c r="A104">
        <v>21</v>
      </c>
      <c r="B104" s="4" t="s">
        <v>131</v>
      </c>
      <c r="C104" s="31">
        <v>46015</v>
      </c>
      <c r="D104" s="4" t="s">
        <v>6</v>
      </c>
      <c r="E104" s="5">
        <v>12830</v>
      </c>
      <c r="F104" s="4" t="s">
        <v>8</v>
      </c>
      <c r="G104" s="6" t="s">
        <v>132</v>
      </c>
    </row>
    <row r="105" spans="1:7" x14ac:dyDescent="0.25">
      <c r="A105">
        <v>22</v>
      </c>
      <c r="B105" s="4" t="s">
        <v>133</v>
      </c>
      <c r="C105" s="31">
        <v>46015</v>
      </c>
      <c r="D105" s="4" t="s">
        <v>6</v>
      </c>
      <c r="E105" s="5">
        <v>20750</v>
      </c>
      <c r="F105" s="4" t="s">
        <v>8</v>
      </c>
      <c r="G105" s="6" t="s">
        <v>134</v>
      </c>
    </row>
    <row r="106" spans="1:7" x14ac:dyDescent="0.25">
      <c r="A106">
        <v>23</v>
      </c>
      <c r="B106" s="4" t="s">
        <v>135</v>
      </c>
      <c r="C106" s="31">
        <v>46015</v>
      </c>
      <c r="D106" s="4" t="s">
        <v>6</v>
      </c>
      <c r="E106" s="5">
        <v>327480</v>
      </c>
      <c r="F106" s="4" t="s">
        <v>8</v>
      </c>
      <c r="G106" s="6" t="s">
        <v>136</v>
      </c>
    </row>
    <row r="107" spans="1:7" x14ac:dyDescent="0.25">
      <c r="A107">
        <v>24</v>
      </c>
      <c r="B107" s="4" t="s">
        <v>137</v>
      </c>
      <c r="C107" s="31">
        <v>46015</v>
      </c>
      <c r="D107" s="4" t="s">
        <v>6</v>
      </c>
      <c r="E107" s="5">
        <v>139550</v>
      </c>
      <c r="F107" s="4" t="s">
        <v>8</v>
      </c>
      <c r="G107" s="6" t="s">
        <v>138</v>
      </c>
    </row>
    <row r="108" spans="1:7" x14ac:dyDescent="0.25">
      <c r="A108">
        <v>25</v>
      </c>
      <c r="B108" s="4" t="s">
        <v>7</v>
      </c>
      <c r="C108" s="31">
        <v>46019</v>
      </c>
      <c r="D108" s="4" t="s">
        <v>6</v>
      </c>
      <c r="E108" s="5">
        <v>12830</v>
      </c>
      <c r="F108" s="4" t="s">
        <v>8</v>
      </c>
      <c r="G108" s="6" t="s">
        <v>9</v>
      </c>
    </row>
    <row r="109" spans="1:7" x14ac:dyDescent="0.25">
      <c r="A109">
        <v>26</v>
      </c>
      <c r="B109" s="4" t="s">
        <v>10</v>
      </c>
      <c r="C109" s="31">
        <v>46019</v>
      </c>
      <c r="D109" s="4" t="s">
        <v>6</v>
      </c>
      <c r="E109" s="5">
        <v>12830</v>
      </c>
      <c r="F109" s="4" t="s">
        <v>8</v>
      </c>
      <c r="G109" s="6" t="s">
        <v>11</v>
      </c>
    </row>
    <row r="110" spans="1:7" x14ac:dyDescent="0.25">
      <c r="A110">
        <v>27</v>
      </c>
      <c r="B110" s="4" t="s">
        <v>12</v>
      </c>
      <c r="C110" s="31">
        <v>46019</v>
      </c>
      <c r="D110" s="4" t="s">
        <v>6</v>
      </c>
      <c r="E110" s="5">
        <v>42750</v>
      </c>
      <c r="F110" s="4" t="s">
        <v>8</v>
      </c>
      <c r="G110" s="6" t="s">
        <v>13</v>
      </c>
    </row>
    <row r="111" spans="1:7" x14ac:dyDescent="0.25">
      <c r="A111">
        <v>28</v>
      </c>
      <c r="B111" s="4" t="s">
        <v>14</v>
      </c>
      <c r="C111" s="31">
        <v>46020</v>
      </c>
      <c r="D111" s="4" t="s">
        <v>6</v>
      </c>
      <c r="E111" s="5">
        <v>42750</v>
      </c>
      <c r="F111" s="4" t="s">
        <v>8</v>
      </c>
      <c r="G111" s="6" t="s">
        <v>15</v>
      </c>
    </row>
    <row r="112" spans="1:7" x14ac:dyDescent="0.25">
      <c r="A112">
        <v>29</v>
      </c>
      <c r="B112" s="4" t="s">
        <v>16</v>
      </c>
      <c r="C112" s="31">
        <v>46020</v>
      </c>
      <c r="D112" s="4" t="s">
        <v>6</v>
      </c>
      <c r="E112" s="5">
        <v>82350</v>
      </c>
      <c r="F112" s="4" t="s">
        <v>8</v>
      </c>
      <c r="G112" s="6" t="s">
        <v>17</v>
      </c>
    </row>
    <row r="113" spans="1:7" x14ac:dyDescent="0.25">
      <c r="A113">
        <v>30</v>
      </c>
      <c r="B113" s="4" t="s">
        <v>18</v>
      </c>
      <c r="C113" s="31">
        <v>46020</v>
      </c>
      <c r="D113" s="4" t="s">
        <v>6</v>
      </c>
      <c r="E113" s="5">
        <v>139550</v>
      </c>
      <c r="F113" s="4" t="s">
        <v>8</v>
      </c>
      <c r="G113" s="6" t="s">
        <v>19</v>
      </c>
    </row>
    <row r="114" spans="1:7" x14ac:dyDescent="0.25">
      <c r="A114">
        <v>31</v>
      </c>
      <c r="B114" s="4" t="s">
        <v>20</v>
      </c>
      <c r="C114" s="31">
        <v>46020</v>
      </c>
      <c r="D114" s="4" t="s">
        <v>6</v>
      </c>
      <c r="E114" s="5">
        <v>86750</v>
      </c>
      <c r="F114" s="4" t="s">
        <v>8</v>
      </c>
      <c r="G114" s="6" t="s">
        <v>21</v>
      </c>
    </row>
    <row r="115" spans="1:7" x14ac:dyDescent="0.25">
      <c r="A115">
        <v>32</v>
      </c>
      <c r="B115" s="4" t="s">
        <v>22</v>
      </c>
      <c r="C115" s="31">
        <v>46021</v>
      </c>
      <c r="D115" s="4" t="s">
        <v>6</v>
      </c>
      <c r="E115" s="5">
        <v>42750</v>
      </c>
      <c r="F115" s="4" t="s">
        <v>8</v>
      </c>
      <c r="G115" s="6" t="s">
        <v>23</v>
      </c>
    </row>
    <row r="116" spans="1:7" x14ac:dyDescent="0.25">
      <c r="A116">
        <v>33</v>
      </c>
      <c r="B116" s="4" t="s">
        <v>24</v>
      </c>
      <c r="C116" s="31">
        <v>46021</v>
      </c>
      <c r="D116" s="4" t="s">
        <v>6</v>
      </c>
      <c r="E116" s="5">
        <v>12830</v>
      </c>
      <c r="F116" s="4" t="s">
        <v>8</v>
      </c>
      <c r="G116" s="6" t="s">
        <v>25</v>
      </c>
    </row>
    <row r="117" spans="1:7" x14ac:dyDescent="0.25">
      <c r="A117">
        <v>34</v>
      </c>
      <c r="B117" s="4" t="s">
        <v>26</v>
      </c>
      <c r="C117" s="31">
        <v>46021</v>
      </c>
      <c r="D117" s="4" t="s">
        <v>6</v>
      </c>
      <c r="E117" s="5">
        <v>20750</v>
      </c>
      <c r="F117" s="4" t="s">
        <v>8</v>
      </c>
      <c r="G117" s="6" t="s">
        <v>27</v>
      </c>
    </row>
    <row r="118" spans="1:7" x14ac:dyDescent="0.25">
      <c r="A118">
        <v>35</v>
      </c>
      <c r="B118" s="4" t="s">
        <v>28</v>
      </c>
      <c r="C118" s="31">
        <v>46021</v>
      </c>
      <c r="D118" s="4" t="s">
        <v>6</v>
      </c>
      <c r="E118" s="5">
        <v>42750</v>
      </c>
      <c r="F118" s="4" t="s">
        <v>8</v>
      </c>
      <c r="G118" s="6" t="s">
        <v>29</v>
      </c>
    </row>
    <row r="119" spans="1:7" x14ac:dyDescent="0.25">
      <c r="A119">
        <v>36</v>
      </c>
      <c r="B119" s="4" t="s">
        <v>30</v>
      </c>
      <c r="C119" s="31">
        <v>46021</v>
      </c>
      <c r="D119" s="4" t="s">
        <v>6</v>
      </c>
      <c r="E119" s="5">
        <v>152750</v>
      </c>
      <c r="F119" s="4" t="s">
        <v>8</v>
      </c>
      <c r="G119" s="6" t="s">
        <v>31</v>
      </c>
    </row>
    <row r="120" spans="1:7" x14ac:dyDescent="0.25">
      <c r="A120">
        <v>37</v>
      </c>
      <c r="B120" s="4" t="s">
        <v>32</v>
      </c>
      <c r="C120" s="31">
        <v>46022</v>
      </c>
      <c r="D120" s="4" t="s">
        <v>6</v>
      </c>
      <c r="E120" s="5">
        <v>42750</v>
      </c>
      <c r="F120" s="4" t="s">
        <v>8</v>
      </c>
      <c r="G120" s="6" t="s">
        <v>33</v>
      </c>
    </row>
    <row r="121" spans="1:7" x14ac:dyDescent="0.25">
      <c r="A121">
        <v>38</v>
      </c>
      <c r="B121" s="4" t="s">
        <v>34</v>
      </c>
      <c r="C121" s="31">
        <v>46022</v>
      </c>
      <c r="D121" s="4" t="s">
        <v>6</v>
      </c>
      <c r="E121" s="5">
        <v>267150</v>
      </c>
      <c r="F121" s="4" t="s">
        <v>8</v>
      </c>
      <c r="G121" s="6" t="s">
        <v>35</v>
      </c>
    </row>
    <row r="122" spans="1:7" x14ac:dyDescent="0.25">
      <c r="A122">
        <v>39</v>
      </c>
      <c r="B122" s="4" t="s">
        <v>36</v>
      </c>
      <c r="C122" s="31">
        <v>46022</v>
      </c>
      <c r="D122" s="4" t="s">
        <v>6</v>
      </c>
      <c r="E122" s="5">
        <v>2105470</v>
      </c>
      <c r="F122" s="4" t="s">
        <v>8</v>
      </c>
      <c r="G122" s="6" t="s">
        <v>37</v>
      </c>
    </row>
    <row r="123" spans="1:7" x14ac:dyDescent="0.25">
      <c r="A123">
        <v>40</v>
      </c>
      <c r="B123" s="4" t="s">
        <v>38</v>
      </c>
      <c r="C123" s="31">
        <v>46022</v>
      </c>
      <c r="D123" s="4" t="s">
        <v>6</v>
      </c>
      <c r="E123" s="5">
        <v>20750</v>
      </c>
      <c r="F123" s="4" t="s">
        <v>8</v>
      </c>
      <c r="G123" s="6" t="s">
        <v>39</v>
      </c>
    </row>
    <row r="124" spans="1:7" x14ac:dyDescent="0.25">
      <c r="A124">
        <v>41</v>
      </c>
      <c r="B124" s="4" t="s">
        <v>40</v>
      </c>
      <c r="C124" s="31">
        <v>46023</v>
      </c>
      <c r="D124" s="4" t="s">
        <v>6</v>
      </c>
      <c r="E124" s="5">
        <v>67950</v>
      </c>
      <c r="F124" s="4" t="s">
        <v>8</v>
      </c>
      <c r="G124" s="6" t="s">
        <v>41</v>
      </c>
    </row>
    <row r="125" spans="1:7" x14ac:dyDescent="0.25">
      <c r="A125">
        <v>42</v>
      </c>
      <c r="B125" s="4" t="s">
        <v>42</v>
      </c>
      <c r="C125" s="31">
        <v>46023</v>
      </c>
      <c r="D125" s="4" t="s">
        <v>6</v>
      </c>
      <c r="E125" s="5">
        <v>42000</v>
      </c>
      <c r="F125" s="4" t="s">
        <v>8</v>
      </c>
      <c r="G125" s="6" t="s">
        <v>43</v>
      </c>
    </row>
    <row r="126" spans="1:7" x14ac:dyDescent="0.25">
      <c r="A126">
        <v>43</v>
      </c>
      <c r="B126" s="4" t="s">
        <v>44</v>
      </c>
      <c r="C126" s="31">
        <v>46023</v>
      </c>
      <c r="D126" s="4" t="s">
        <v>6</v>
      </c>
      <c r="E126" s="5">
        <v>262575</v>
      </c>
      <c r="F126" s="4" t="s">
        <v>8</v>
      </c>
      <c r="G126" s="6" t="s">
        <v>45</v>
      </c>
    </row>
    <row r="127" spans="1:7" x14ac:dyDescent="0.25">
      <c r="A127">
        <v>44</v>
      </c>
      <c r="B127" s="4" t="s">
        <v>46</v>
      </c>
      <c r="C127" s="31">
        <v>46024</v>
      </c>
      <c r="D127" s="4" t="s">
        <v>6</v>
      </c>
      <c r="E127" s="5">
        <v>20375</v>
      </c>
      <c r="F127" s="4" t="s">
        <v>8</v>
      </c>
      <c r="G127" s="6" t="s">
        <v>47</v>
      </c>
    </row>
    <row r="128" spans="1:7" x14ac:dyDescent="0.25">
      <c r="A128">
        <v>45</v>
      </c>
      <c r="B128" s="4" t="s">
        <v>48</v>
      </c>
      <c r="C128" s="31">
        <v>46024</v>
      </c>
      <c r="D128" s="4" t="s">
        <v>6</v>
      </c>
      <c r="E128" s="5">
        <v>12590</v>
      </c>
      <c r="F128" s="4" t="s">
        <v>8</v>
      </c>
      <c r="G128" s="6" t="s">
        <v>49</v>
      </c>
    </row>
    <row r="129" spans="1:7" x14ac:dyDescent="0.25">
      <c r="A129">
        <v>46</v>
      </c>
      <c r="B129" s="4" t="s">
        <v>50</v>
      </c>
      <c r="C129" s="31">
        <v>46024</v>
      </c>
      <c r="D129" s="4" t="s">
        <v>6</v>
      </c>
      <c r="E129" s="5">
        <v>63625</v>
      </c>
      <c r="F129" s="4" t="s">
        <v>8</v>
      </c>
      <c r="G129" s="6" t="s">
        <v>51</v>
      </c>
    </row>
    <row r="130" spans="1:7" x14ac:dyDescent="0.25">
      <c r="A130">
        <v>47</v>
      </c>
      <c r="B130" s="4" t="s">
        <v>52</v>
      </c>
      <c r="C130" s="31">
        <v>46024</v>
      </c>
      <c r="D130" s="4" t="s">
        <v>6</v>
      </c>
      <c r="E130" s="5">
        <v>42000</v>
      </c>
      <c r="F130" s="4" t="s">
        <v>8</v>
      </c>
      <c r="G130" s="6" t="s">
        <v>53</v>
      </c>
    </row>
    <row r="131" spans="1:7" x14ac:dyDescent="0.25">
      <c r="A131">
        <v>48</v>
      </c>
      <c r="B131" s="4" t="s">
        <v>54</v>
      </c>
      <c r="C131" s="31">
        <v>46024</v>
      </c>
      <c r="D131" s="4" t="s">
        <v>6</v>
      </c>
      <c r="E131" s="5">
        <v>12590</v>
      </c>
      <c r="F131" s="4" t="s">
        <v>8</v>
      </c>
      <c r="G131" s="6" t="s">
        <v>55</v>
      </c>
    </row>
    <row r="132" spans="1:7" x14ac:dyDescent="0.25">
      <c r="A132">
        <v>49</v>
      </c>
      <c r="B132" s="4" t="s">
        <v>56</v>
      </c>
      <c r="C132" s="31">
        <v>46024</v>
      </c>
      <c r="D132" s="4" t="s">
        <v>6</v>
      </c>
      <c r="E132" s="5">
        <v>20375</v>
      </c>
      <c r="F132" s="4" t="s">
        <v>8</v>
      </c>
      <c r="G132" s="6" t="s">
        <v>57</v>
      </c>
    </row>
    <row r="133" spans="1:7" x14ac:dyDescent="0.25">
      <c r="A133">
        <v>50</v>
      </c>
      <c r="B133" s="4" t="s">
        <v>58</v>
      </c>
      <c r="C133" s="31">
        <v>46024</v>
      </c>
      <c r="D133" s="4" t="s">
        <v>6</v>
      </c>
      <c r="E133" s="5">
        <v>20375</v>
      </c>
      <c r="F133" s="4" t="s">
        <v>8</v>
      </c>
      <c r="G133" s="6" t="s">
        <v>59</v>
      </c>
    </row>
    <row r="134" spans="1:7" x14ac:dyDescent="0.25">
      <c r="A134">
        <v>51</v>
      </c>
      <c r="B134" s="4" t="s">
        <v>60</v>
      </c>
      <c r="C134" s="31">
        <v>46025</v>
      </c>
      <c r="D134" s="4" t="s">
        <v>6</v>
      </c>
      <c r="E134" s="5">
        <v>42000</v>
      </c>
      <c r="F134" s="4" t="s">
        <v>8</v>
      </c>
      <c r="G134" s="6" t="s">
        <v>61</v>
      </c>
    </row>
    <row r="135" spans="1:7" x14ac:dyDescent="0.25">
      <c r="A135">
        <v>52</v>
      </c>
      <c r="B135" s="4" t="s">
        <v>62</v>
      </c>
      <c r="C135" s="31">
        <v>46025</v>
      </c>
      <c r="D135" s="4" t="s">
        <v>6</v>
      </c>
      <c r="E135" s="5">
        <v>1625815</v>
      </c>
      <c r="F135" s="4" t="s">
        <v>8</v>
      </c>
      <c r="G135" s="6" t="s">
        <v>63</v>
      </c>
    </row>
    <row r="136" spans="1:7" x14ac:dyDescent="0.25">
      <c r="A136">
        <v>53</v>
      </c>
      <c r="B136" s="4" t="s">
        <v>64</v>
      </c>
      <c r="C136" s="31">
        <v>46025</v>
      </c>
      <c r="D136" s="4" t="s">
        <v>6</v>
      </c>
      <c r="E136" s="5">
        <v>26430</v>
      </c>
      <c r="F136" s="4" t="s">
        <v>8</v>
      </c>
      <c r="G136" s="6" t="s">
        <v>65</v>
      </c>
    </row>
    <row r="137" spans="1:7" x14ac:dyDescent="0.25">
      <c r="A137">
        <v>54</v>
      </c>
      <c r="B137" s="4" t="s">
        <v>66</v>
      </c>
      <c r="C137" s="31">
        <v>46026</v>
      </c>
      <c r="D137" s="4" t="s">
        <v>6</v>
      </c>
      <c r="E137" s="5">
        <v>24700</v>
      </c>
      <c r="F137" s="4" t="s">
        <v>8</v>
      </c>
      <c r="G137" s="6" t="s">
        <v>67</v>
      </c>
    </row>
    <row r="138" spans="1:7" x14ac:dyDescent="0.25">
      <c r="A138">
        <v>55</v>
      </c>
      <c r="B138" s="4" t="s">
        <v>68</v>
      </c>
      <c r="C138" s="31">
        <v>46026</v>
      </c>
      <c r="D138" s="4" t="s">
        <v>6</v>
      </c>
      <c r="E138" s="5">
        <v>42000</v>
      </c>
      <c r="F138" s="4" t="s">
        <v>8</v>
      </c>
      <c r="G138" s="6" t="s">
        <v>69</v>
      </c>
    </row>
    <row r="139" spans="1:7" x14ac:dyDescent="0.25">
      <c r="A139">
        <v>56</v>
      </c>
      <c r="B139" s="4" t="s">
        <v>70</v>
      </c>
      <c r="C139" s="31">
        <v>46026</v>
      </c>
      <c r="D139" s="4" t="s">
        <v>6</v>
      </c>
      <c r="E139" s="5">
        <v>137150</v>
      </c>
      <c r="F139" s="4" t="s">
        <v>8</v>
      </c>
      <c r="G139" s="6" t="s">
        <v>71</v>
      </c>
    </row>
    <row r="140" spans="1:7" x14ac:dyDescent="0.25">
      <c r="A140">
        <v>57</v>
      </c>
      <c r="B140" s="4" t="s">
        <v>139</v>
      </c>
      <c r="C140" s="31">
        <v>46027</v>
      </c>
      <c r="D140" s="4" t="s">
        <v>6</v>
      </c>
      <c r="E140" s="5">
        <v>42000</v>
      </c>
      <c r="F140" s="4" t="s">
        <v>8</v>
      </c>
      <c r="G140" s="6" t="s">
        <v>140</v>
      </c>
    </row>
    <row r="141" spans="1:7" x14ac:dyDescent="0.25">
      <c r="A141">
        <v>58</v>
      </c>
      <c r="B141" s="6" t="s">
        <v>141</v>
      </c>
      <c r="C141" s="32">
        <v>46027</v>
      </c>
      <c r="D141" s="6" t="s">
        <v>6</v>
      </c>
      <c r="E141" s="8">
        <v>25250</v>
      </c>
      <c r="F141" s="6" t="s">
        <v>8</v>
      </c>
      <c r="G141" s="6" t="s">
        <v>142</v>
      </c>
    </row>
    <row r="142" spans="1:7" x14ac:dyDescent="0.25">
      <c r="A142">
        <v>59</v>
      </c>
      <c r="B142" s="4" t="s">
        <v>143</v>
      </c>
      <c r="C142" s="31">
        <v>46027</v>
      </c>
      <c r="D142" s="4" t="s">
        <v>6</v>
      </c>
      <c r="E142" s="5">
        <v>67950</v>
      </c>
      <c r="F142" s="4" t="s">
        <v>8</v>
      </c>
      <c r="G142" s="6" t="s">
        <v>144</v>
      </c>
    </row>
    <row r="143" spans="1:7" x14ac:dyDescent="0.25">
      <c r="A143">
        <v>60</v>
      </c>
      <c r="B143" s="4" t="s">
        <v>145</v>
      </c>
      <c r="C143" s="31">
        <v>46027</v>
      </c>
      <c r="D143" s="4" t="s">
        <v>6</v>
      </c>
      <c r="E143" s="5">
        <v>616360</v>
      </c>
      <c r="F143" s="4" t="s">
        <v>8</v>
      </c>
      <c r="G143" s="6" t="s">
        <v>146</v>
      </c>
    </row>
    <row r="144" spans="1:7" x14ac:dyDescent="0.25">
      <c r="A144">
        <v>61</v>
      </c>
      <c r="B144" s="4" t="s">
        <v>147</v>
      </c>
      <c r="C144" s="31">
        <v>46027</v>
      </c>
      <c r="D144" s="4" t="s">
        <v>6</v>
      </c>
      <c r="E144" s="5">
        <v>616360</v>
      </c>
      <c r="F144" s="4" t="s">
        <v>8</v>
      </c>
      <c r="G144" s="6" t="s">
        <v>148</v>
      </c>
    </row>
    <row r="145" spans="1:7" x14ac:dyDescent="0.25">
      <c r="A145">
        <v>62</v>
      </c>
      <c r="B145" s="4" t="s">
        <v>149</v>
      </c>
      <c r="C145" s="31">
        <v>46027</v>
      </c>
      <c r="D145" s="4" t="s">
        <v>6</v>
      </c>
      <c r="E145" s="5">
        <v>12590</v>
      </c>
      <c r="F145" s="4" t="s">
        <v>8</v>
      </c>
      <c r="G145" s="6" t="s">
        <v>150</v>
      </c>
    </row>
    <row r="146" spans="1:7" x14ac:dyDescent="0.25">
      <c r="A146">
        <v>63</v>
      </c>
      <c r="B146" s="4" t="s">
        <v>151</v>
      </c>
      <c r="C146" s="31">
        <v>46028</v>
      </c>
      <c r="D146" s="4" t="s">
        <v>6</v>
      </c>
      <c r="E146" s="5">
        <v>12590</v>
      </c>
      <c r="F146" s="4" t="s">
        <v>8</v>
      </c>
      <c r="G146" s="6" t="s">
        <v>152</v>
      </c>
    </row>
    <row r="147" spans="1:7" x14ac:dyDescent="0.25">
      <c r="A147">
        <v>64</v>
      </c>
      <c r="B147" s="4" t="s">
        <v>153</v>
      </c>
      <c r="C147" s="31">
        <v>46028</v>
      </c>
      <c r="D147" s="4" t="s">
        <v>6</v>
      </c>
      <c r="E147" s="5">
        <v>42000</v>
      </c>
      <c r="F147" s="4" t="s">
        <v>8</v>
      </c>
      <c r="G147" s="6" t="s">
        <v>154</v>
      </c>
    </row>
    <row r="148" spans="1:7" x14ac:dyDescent="0.25">
      <c r="A148">
        <v>65</v>
      </c>
      <c r="B148" s="4" t="s">
        <v>155</v>
      </c>
      <c r="C148" s="31">
        <v>46028</v>
      </c>
      <c r="D148" s="4" t="s">
        <v>6</v>
      </c>
      <c r="E148" s="5">
        <v>457200</v>
      </c>
      <c r="F148" s="4" t="s">
        <v>8</v>
      </c>
      <c r="G148" s="6" t="s">
        <v>156</v>
      </c>
    </row>
    <row r="149" spans="1:7" x14ac:dyDescent="0.25">
      <c r="A149">
        <v>66</v>
      </c>
      <c r="B149" s="4" t="s">
        <v>157</v>
      </c>
      <c r="C149" s="31">
        <v>46028</v>
      </c>
      <c r="D149" s="4" t="s">
        <v>6</v>
      </c>
      <c r="E149" s="5">
        <v>258250</v>
      </c>
      <c r="F149" s="4" t="s">
        <v>8</v>
      </c>
      <c r="G149" s="6" t="s">
        <v>158</v>
      </c>
    </row>
    <row r="150" spans="1:7" x14ac:dyDescent="0.25">
      <c r="A150">
        <v>67</v>
      </c>
      <c r="B150" s="4" t="s">
        <v>159</v>
      </c>
      <c r="C150" s="31">
        <v>46028</v>
      </c>
      <c r="D150" s="4" t="s">
        <v>6</v>
      </c>
      <c r="E150" s="5">
        <v>80060</v>
      </c>
      <c r="F150" s="4" t="s">
        <v>8</v>
      </c>
      <c r="G150" s="6" t="s">
        <v>160</v>
      </c>
    </row>
    <row r="151" spans="1:7" x14ac:dyDescent="0.25">
      <c r="A151">
        <v>68</v>
      </c>
      <c r="B151" s="4" t="s">
        <v>161</v>
      </c>
      <c r="C151" s="31">
        <v>46028</v>
      </c>
      <c r="D151" s="4" t="s">
        <v>6</v>
      </c>
      <c r="E151" s="5">
        <v>67950</v>
      </c>
      <c r="F151" s="4" t="s">
        <v>8</v>
      </c>
      <c r="G151" s="6" t="s">
        <v>162</v>
      </c>
    </row>
    <row r="152" spans="1:7" x14ac:dyDescent="0.25">
      <c r="A152">
        <v>69</v>
      </c>
      <c r="B152" s="4" t="s">
        <v>163</v>
      </c>
      <c r="C152" s="31">
        <v>46028</v>
      </c>
      <c r="D152" s="4" t="s">
        <v>6</v>
      </c>
      <c r="E152" s="5">
        <v>301500</v>
      </c>
      <c r="F152" s="4" t="s">
        <v>8</v>
      </c>
      <c r="G152" s="6" t="s">
        <v>164</v>
      </c>
    </row>
    <row r="153" spans="1:7" x14ac:dyDescent="0.25">
      <c r="A153">
        <v>70</v>
      </c>
      <c r="B153" s="4" t="s">
        <v>165</v>
      </c>
      <c r="C153" s="31">
        <v>46029</v>
      </c>
      <c r="D153" s="4" t="s">
        <v>6</v>
      </c>
      <c r="E153" s="5">
        <v>42000</v>
      </c>
      <c r="F153" s="4" t="s">
        <v>8</v>
      </c>
      <c r="G153" s="6" t="s">
        <v>166</v>
      </c>
    </row>
    <row r="154" spans="1:7" x14ac:dyDescent="0.25">
      <c r="A154">
        <v>71</v>
      </c>
      <c r="B154" s="4" t="s">
        <v>167</v>
      </c>
      <c r="C154" s="31">
        <v>46029</v>
      </c>
      <c r="D154" s="4" t="s">
        <v>6</v>
      </c>
      <c r="E154" s="5">
        <v>80925</v>
      </c>
      <c r="F154" s="4" t="s">
        <v>8</v>
      </c>
      <c r="G154" s="6" t="s">
        <v>168</v>
      </c>
    </row>
    <row r="155" spans="1:7" x14ac:dyDescent="0.25">
      <c r="A155">
        <v>72</v>
      </c>
      <c r="B155" s="4" t="s">
        <v>169</v>
      </c>
      <c r="C155" s="31">
        <v>46010</v>
      </c>
      <c r="D155" s="4" t="s">
        <v>72</v>
      </c>
      <c r="E155" s="5">
        <v>135150</v>
      </c>
      <c r="F155" s="4" t="s">
        <v>8</v>
      </c>
      <c r="G155" s="6" t="s">
        <v>170</v>
      </c>
    </row>
    <row r="156" spans="1:7" x14ac:dyDescent="0.25">
      <c r="A156">
        <v>73</v>
      </c>
      <c r="B156" s="4" t="s">
        <v>171</v>
      </c>
      <c r="C156" s="31">
        <v>46011</v>
      </c>
      <c r="D156" s="4" t="s">
        <v>72</v>
      </c>
      <c r="E156" s="5">
        <v>13422</v>
      </c>
      <c r="F156" s="4" t="s">
        <v>8</v>
      </c>
      <c r="G156" s="6" t="s">
        <v>172</v>
      </c>
    </row>
    <row r="157" spans="1:7" x14ac:dyDescent="0.25">
      <c r="A157">
        <v>74</v>
      </c>
      <c r="B157" s="4" t="s">
        <v>173</v>
      </c>
      <c r="C157" s="31">
        <v>46013</v>
      </c>
      <c r="D157" s="4" t="s">
        <v>72</v>
      </c>
      <c r="E157" s="5">
        <v>85865</v>
      </c>
      <c r="F157" s="4" t="s">
        <v>8</v>
      </c>
      <c r="G157" s="6" t="s">
        <v>174</v>
      </c>
    </row>
    <row r="158" spans="1:7" x14ac:dyDescent="0.25">
      <c r="A158">
        <v>75</v>
      </c>
      <c r="B158" s="4" t="s">
        <v>175</v>
      </c>
      <c r="C158" s="31">
        <v>46013</v>
      </c>
      <c r="D158" s="4" t="s">
        <v>72</v>
      </c>
      <c r="E158" s="5">
        <v>869950</v>
      </c>
      <c r="F158" s="4" t="s">
        <v>8</v>
      </c>
      <c r="G158" s="6" t="s">
        <v>176</v>
      </c>
    </row>
    <row r="159" spans="1:7" x14ac:dyDescent="0.25">
      <c r="A159">
        <v>76</v>
      </c>
      <c r="B159" s="4" t="s">
        <v>177</v>
      </c>
      <c r="C159" s="31">
        <v>46014</v>
      </c>
      <c r="D159" s="4" t="s">
        <v>72</v>
      </c>
      <c r="E159" s="5">
        <v>28094</v>
      </c>
      <c r="F159" s="4" t="s">
        <v>8</v>
      </c>
      <c r="G159" s="6" t="s">
        <v>178</v>
      </c>
    </row>
    <row r="160" spans="1:7" x14ac:dyDescent="0.25">
      <c r="A160">
        <v>77</v>
      </c>
      <c r="B160" s="4" t="s">
        <v>179</v>
      </c>
      <c r="C160" s="31">
        <v>46014</v>
      </c>
      <c r="D160" s="4" t="s">
        <v>72</v>
      </c>
      <c r="E160" s="5">
        <v>85864</v>
      </c>
      <c r="F160" s="4" t="s">
        <v>8</v>
      </c>
      <c r="G160" s="6" t="s">
        <v>180</v>
      </c>
    </row>
    <row r="161" spans="1:7" x14ac:dyDescent="0.25">
      <c r="A161">
        <v>78</v>
      </c>
      <c r="B161" s="4" t="s">
        <v>181</v>
      </c>
      <c r="C161" s="31">
        <v>46015</v>
      </c>
      <c r="D161" s="4" t="s">
        <v>72</v>
      </c>
      <c r="E161" s="5">
        <v>12782</v>
      </c>
      <c r="F161" s="4" t="s">
        <v>8</v>
      </c>
      <c r="G161" s="6" t="s">
        <v>182</v>
      </c>
    </row>
    <row r="162" spans="1:7" x14ac:dyDescent="0.25">
      <c r="A162">
        <v>79</v>
      </c>
      <c r="B162" s="6" t="s">
        <v>183</v>
      </c>
      <c r="C162" s="32">
        <v>46015</v>
      </c>
      <c r="D162" s="6" t="s">
        <v>72</v>
      </c>
      <c r="E162" s="8">
        <v>728550</v>
      </c>
      <c r="F162" s="6" t="s">
        <v>8</v>
      </c>
      <c r="G162" s="6" t="s">
        <v>184</v>
      </c>
    </row>
    <row r="163" spans="1:7" x14ac:dyDescent="0.25">
      <c r="A163">
        <v>80</v>
      </c>
      <c r="B163" s="4" t="s">
        <v>73</v>
      </c>
      <c r="C163" s="31">
        <v>46020</v>
      </c>
      <c r="D163" s="4" t="s">
        <v>72</v>
      </c>
      <c r="E163" s="5">
        <v>88616</v>
      </c>
      <c r="F163" s="4" t="s">
        <v>8</v>
      </c>
      <c r="G163" s="6" t="s">
        <v>74</v>
      </c>
    </row>
    <row r="164" spans="1:7" x14ac:dyDescent="0.25">
      <c r="A164">
        <v>81</v>
      </c>
      <c r="B164" s="4" t="s">
        <v>75</v>
      </c>
      <c r="C164" s="31">
        <v>46020</v>
      </c>
      <c r="D164" s="4" t="s">
        <v>72</v>
      </c>
      <c r="E164" s="5">
        <v>77070</v>
      </c>
      <c r="F164" s="4" t="s">
        <v>8</v>
      </c>
      <c r="G164" s="6" t="s">
        <v>76</v>
      </c>
    </row>
    <row r="165" spans="1:7" x14ac:dyDescent="0.25">
      <c r="A165">
        <v>82</v>
      </c>
      <c r="B165" s="4" t="s">
        <v>77</v>
      </c>
      <c r="C165" s="31">
        <v>46021</v>
      </c>
      <c r="D165" s="4" t="s">
        <v>72</v>
      </c>
      <c r="E165" s="5">
        <v>20675</v>
      </c>
      <c r="F165" s="4" t="s">
        <v>8</v>
      </c>
      <c r="G165" s="6" t="s">
        <v>78</v>
      </c>
    </row>
    <row r="166" spans="1:7" x14ac:dyDescent="0.25">
      <c r="A166">
        <v>83</v>
      </c>
      <c r="B166" s="4" t="s">
        <v>79</v>
      </c>
      <c r="C166" s="31">
        <v>46021</v>
      </c>
      <c r="D166" s="4" t="s">
        <v>72</v>
      </c>
      <c r="E166" s="5">
        <v>663750</v>
      </c>
      <c r="F166" s="4" t="s">
        <v>8</v>
      </c>
      <c r="G166" s="6" t="s">
        <v>80</v>
      </c>
    </row>
    <row r="167" spans="1:7" x14ac:dyDescent="0.25">
      <c r="A167">
        <v>84</v>
      </c>
      <c r="B167" s="4" t="s">
        <v>81</v>
      </c>
      <c r="C167" s="31">
        <v>46022</v>
      </c>
      <c r="D167" s="4" t="s">
        <v>72</v>
      </c>
      <c r="E167" s="5">
        <v>1145000</v>
      </c>
      <c r="F167" s="4" t="s">
        <v>8</v>
      </c>
      <c r="G167" s="6" t="s">
        <v>82</v>
      </c>
    </row>
    <row r="168" spans="1:7" x14ac:dyDescent="0.25">
      <c r="A168">
        <v>85</v>
      </c>
      <c r="B168" s="4" t="s">
        <v>83</v>
      </c>
      <c r="C168" s="31">
        <v>46023</v>
      </c>
      <c r="D168" s="4" t="s">
        <v>72</v>
      </c>
      <c r="E168" s="5">
        <v>122545</v>
      </c>
      <c r="F168" s="4" t="s">
        <v>8</v>
      </c>
      <c r="G168" s="6" t="s">
        <v>84</v>
      </c>
    </row>
    <row r="169" spans="1:7" x14ac:dyDescent="0.25">
      <c r="A169">
        <v>86</v>
      </c>
      <c r="B169" s="4" t="s">
        <v>85</v>
      </c>
      <c r="C169" s="31">
        <v>46024</v>
      </c>
      <c r="D169" s="4" t="s">
        <v>72</v>
      </c>
      <c r="E169" s="5">
        <v>146650</v>
      </c>
      <c r="F169" s="4" t="s">
        <v>8</v>
      </c>
      <c r="G169" s="6" t="s">
        <v>86</v>
      </c>
    </row>
    <row r="170" spans="1:7" x14ac:dyDescent="0.25">
      <c r="A170">
        <v>87</v>
      </c>
      <c r="B170" s="4" t="s">
        <v>87</v>
      </c>
      <c r="C170" s="31">
        <v>46025</v>
      </c>
      <c r="D170" s="4" t="s">
        <v>72</v>
      </c>
      <c r="E170" s="5">
        <v>223390</v>
      </c>
      <c r="F170" s="4" t="s">
        <v>8</v>
      </c>
      <c r="G170" s="6" t="s">
        <v>88</v>
      </c>
    </row>
    <row r="171" spans="1:7" x14ac:dyDescent="0.25">
      <c r="A171">
        <v>88</v>
      </c>
      <c r="B171" s="4" t="s">
        <v>89</v>
      </c>
      <c r="C171" s="31">
        <v>46026</v>
      </c>
      <c r="D171" s="4" t="s">
        <v>72</v>
      </c>
      <c r="E171" s="5">
        <v>21675</v>
      </c>
      <c r="F171" s="4" t="s">
        <v>8</v>
      </c>
      <c r="G171" s="6" t="s">
        <v>90</v>
      </c>
    </row>
    <row r="172" spans="1:7" x14ac:dyDescent="0.25">
      <c r="A172">
        <v>89</v>
      </c>
      <c r="B172" s="4" t="s">
        <v>185</v>
      </c>
      <c r="C172" s="31">
        <v>46027</v>
      </c>
      <c r="D172" s="4" t="s">
        <v>72</v>
      </c>
      <c r="E172" s="5">
        <v>662950</v>
      </c>
      <c r="F172" s="4" t="s">
        <v>8</v>
      </c>
      <c r="G172" s="6" t="s">
        <v>186</v>
      </c>
    </row>
    <row r="173" spans="1:7" x14ac:dyDescent="0.25">
      <c r="A173">
        <v>90</v>
      </c>
      <c r="B173" s="4" t="s">
        <v>187</v>
      </c>
      <c r="C173" s="31">
        <v>46027</v>
      </c>
      <c r="D173" s="4" t="s">
        <v>72</v>
      </c>
      <c r="E173" s="5">
        <v>28094</v>
      </c>
      <c r="F173" s="4" t="s">
        <v>8</v>
      </c>
      <c r="G173" s="6" t="s">
        <v>188</v>
      </c>
    </row>
    <row r="174" spans="1:7" x14ac:dyDescent="0.25">
      <c r="A174">
        <v>91</v>
      </c>
      <c r="B174" s="4" t="s">
        <v>189</v>
      </c>
      <c r="C174" s="31">
        <v>46027</v>
      </c>
      <c r="D174" s="4" t="s">
        <v>72</v>
      </c>
      <c r="E174" s="5">
        <v>122545</v>
      </c>
      <c r="F174" s="4" t="s">
        <v>8</v>
      </c>
      <c r="G174" s="6" t="s">
        <v>190</v>
      </c>
    </row>
    <row r="175" spans="1:7" x14ac:dyDescent="0.25">
      <c r="A175">
        <v>92</v>
      </c>
      <c r="B175" s="4" t="s">
        <v>191</v>
      </c>
      <c r="C175" s="31">
        <v>46027</v>
      </c>
      <c r="D175" s="4" t="s">
        <v>72</v>
      </c>
      <c r="E175" s="5">
        <v>571875</v>
      </c>
      <c r="F175" s="4" t="s">
        <v>8</v>
      </c>
      <c r="G175" s="6" t="s">
        <v>192</v>
      </c>
    </row>
    <row r="176" spans="1:7" x14ac:dyDescent="0.25">
      <c r="A176">
        <v>93</v>
      </c>
      <c r="B176" s="4" t="s">
        <v>193</v>
      </c>
      <c r="C176" s="31">
        <v>46028</v>
      </c>
      <c r="D176" s="4" t="s">
        <v>72</v>
      </c>
      <c r="E176" s="5">
        <v>13422</v>
      </c>
      <c r="F176" s="4" t="s">
        <v>8</v>
      </c>
      <c r="G176" s="6" t="s">
        <v>194</v>
      </c>
    </row>
    <row r="177" spans="1:8" x14ac:dyDescent="0.25">
      <c r="A177">
        <v>94</v>
      </c>
      <c r="B177" s="4" t="s">
        <v>195</v>
      </c>
      <c r="C177" s="31">
        <v>46028</v>
      </c>
      <c r="D177" s="4" t="s">
        <v>72</v>
      </c>
      <c r="E177" s="5">
        <v>1037150</v>
      </c>
      <c r="F177" s="4" t="s">
        <v>8</v>
      </c>
      <c r="G177" s="6" t="s">
        <v>196</v>
      </c>
    </row>
    <row r="178" spans="1:8" x14ac:dyDescent="0.25">
      <c r="A178">
        <v>95</v>
      </c>
      <c r="B178" s="4" t="s">
        <v>197</v>
      </c>
      <c r="C178" s="31">
        <v>46028</v>
      </c>
      <c r="D178" s="4" t="s">
        <v>72</v>
      </c>
      <c r="E178" s="5">
        <v>77070</v>
      </c>
      <c r="F178" s="4" t="s">
        <v>8</v>
      </c>
      <c r="G178" s="6" t="s">
        <v>198</v>
      </c>
    </row>
    <row r="179" spans="1:8" x14ac:dyDescent="0.25">
      <c r="A179">
        <v>96</v>
      </c>
      <c r="B179" s="4" t="s">
        <v>199</v>
      </c>
      <c r="C179" s="31">
        <v>46029</v>
      </c>
      <c r="D179" s="4" t="s">
        <v>72</v>
      </c>
      <c r="E179" s="5">
        <v>28094</v>
      </c>
      <c r="F179" s="4" t="s">
        <v>8</v>
      </c>
      <c r="G179" s="6" t="s">
        <v>200</v>
      </c>
    </row>
    <row r="180" spans="1:8" x14ac:dyDescent="0.25">
      <c r="B180"/>
      <c r="C180" s="51" t="s">
        <v>351</v>
      </c>
      <c r="D180" s="51"/>
      <c r="E180" s="41">
        <v>17939533</v>
      </c>
      <c r="F180" s="38"/>
      <c r="G180" s="35">
        <f>E180*15%</f>
        <v>2690929.9499999997</v>
      </c>
      <c r="H180" s="30"/>
    </row>
    <row r="181" spans="1:8" x14ac:dyDescent="0.25">
      <c r="C181" s="54" t="s">
        <v>350</v>
      </c>
      <c r="D181" s="54"/>
      <c r="E181" s="55" t="s">
        <v>347</v>
      </c>
      <c r="F181" s="55"/>
      <c r="G181" s="24">
        <v>565000</v>
      </c>
    </row>
    <row r="182" spans="1:8" x14ac:dyDescent="0.25">
      <c r="G182" s="40">
        <f>G180-G181</f>
        <v>2125929.9499999997</v>
      </c>
    </row>
  </sheetData>
  <mergeCells count="10">
    <mergeCell ref="C75:D75"/>
    <mergeCell ref="A1:G2"/>
    <mergeCell ref="A3:G3"/>
    <mergeCell ref="C180:D180"/>
    <mergeCell ref="C181:D181"/>
    <mergeCell ref="E181:F181"/>
    <mergeCell ref="C76:D76"/>
    <mergeCell ref="E76:F76"/>
    <mergeCell ref="A82:H82"/>
    <mergeCell ref="A80:G81"/>
  </mergeCells>
  <pageMargins left="0.7" right="0.7" top="0.75" bottom="0.75" header="0.3" footer="0.3"/>
  <ignoredErrors>
    <ignoredError sqref="G61:G74 G155:G1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057C-CA8A-4B9E-8322-308B9C7A0496}">
  <dimension ref="A1:I282"/>
  <sheetViews>
    <sheetView topLeftCell="A268" workbookViewId="0">
      <selection activeCell="G235" sqref="G235"/>
    </sheetView>
  </sheetViews>
  <sheetFormatPr defaultRowHeight="15" x14ac:dyDescent="0.25"/>
  <cols>
    <col min="1" max="1" width="5" style="1" customWidth="1"/>
    <col min="2" max="2" width="15.42578125" style="1" customWidth="1"/>
    <col min="3" max="3" width="12.140625" style="1" customWidth="1"/>
    <col min="4" max="4" width="12.85546875" style="1" customWidth="1"/>
    <col min="5" max="5" width="16.5703125" style="1" bestFit="1" customWidth="1"/>
    <col min="6" max="6" width="10" style="1" customWidth="1"/>
    <col min="7" max="7" width="20.140625" style="1" customWidth="1"/>
    <col min="8" max="8" width="13" style="1" customWidth="1"/>
    <col min="9" max="9" width="18.42578125" style="1" customWidth="1"/>
    <col min="10" max="16384" width="9.140625" style="1"/>
  </cols>
  <sheetData>
    <row r="1" spans="1:9" x14ac:dyDescent="0.25">
      <c r="A1" s="52" t="s">
        <v>348</v>
      </c>
      <c r="B1" s="61"/>
      <c r="C1" s="61"/>
      <c r="D1" s="61"/>
      <c r="E1" s="61"/>
      <c r="F1" s="61"/>
      <c r="G1" s="61"/>
    </row>
    <row r="2" spans="1:9" x14ac:dyDescent="0.25">
      <c r="A2" s="61"/>
      <c r="B2" s="61"/>
      <c r="C2" s="61"/>
      <c r="D2" s="61"/>
      <c r="E2" s="61"/>
      <c r="F2" s="61"/>
      <c r="G2" s="61"/>
    </row>
    <row r="3" spans="1:9" ht="15.75" x14ac:dyDescent="0.25">
      <c r="A3" s="53" t="s">
        <v>0</v>
      </c>
      <c r="B3" s="53"/>
      <c r="C3" s="53"/>
      <c r="D3" s="53"/>
      <c r="E3" s="53"/>
      <c r="F3" s="53"/>
      <c r="G3" s="53"/>
    </row>
    <row r="4" spans="1:9" ht="30" x14ac:dyDescent="0.25">
      <c r="A4" s="12" t="s">
        <v>202</v>
      </c>
      <c r="B4" s="10" t="s">
        <v>203</v>
      </c>
      <c r="C4" s="10" t="s">
        <v>1</v>
      </c>
      <c r="D4" s="10" t="s">
        <v>2</v>
      </c>
      <c r="E4" s="10" t="s">
        <v>3</v>
      </c>
      <c r="F4" s="10" t="s">
        <v>4</v>
      </c>
      <c r="G4" s="11" t="s">
        <v>5</v>
      </c>
      <c r="H4" s="10"/>
      <c r="I4" s="10"/>
    </row>
    <row r="5" spans="1:9" x14ac:dyDescent="0.25">
      <c r="A5" s="1">
        <v>1</v>
      </c>
      <c r="B5" s="14" t="s">
        <v>7</v>
      </c>
      <c r="C5" s="15">
        <v>46019</v>
      </c>
      <c r="D5" s="14" t="s">
        <v>6</v>
      </c>
      <c r="E5" s="13">
        <v>12830</v>
      </c>
      <c r="F5" s="14" t="s">
        <v>8</v>
      </c>
      <c r="G5" s="14" t="s">
        <v>9</v>
      </c>
    </row>
    <row r="6" spans="1:9" x14ac:dyDescent="0.25">
      <c r="A6" s="1">
        <f>A5+1</f>
        <v>2</v>
      </c>
      <c r="B6" s="14" t="s">
        <v>10</v>
      </c>
      <c r="C6" s="15">
        <v>46019</v>
      </c>
      <c r="D6" s="14" t="s">
        <v>6</v>
      </c>
      <c r="E6" s="13">
        <v>12830</v>
      </c>
      <c r="F6" s="14" t="s">
        <v>8</v>
      </c>
      <c r="G6" s="14" t="s">
        <v>11</v>
      </c>
    </row>
    <row r="7" spans="1:9" x14ac:dyDescent="0.25">
      <c r="A7" s="1">
        <f t="shared" ref="A7:A45" si="0">A6+1</f>
        <v>3</v>
      </c>
      <c r="B7" s="14" t="s">
        <v>12</v>
      </c>
      <c r="C7" s="15">
        <v>46019</v>
      </c>
      <c r="D7" s="14" t="s">
        <v>6</v>
      </c>
      <c r="E7" s="13">
        <v>42750</v>
      </c>
      <c r="F7" s="14" t="s">
        <v>8</v>
      </c>
      <c r="G7" s="14" t="s">
        <v>13</v>
      </c>
    </row>
    <row r="8" spans="1:9" x14ac:dyDescent="0.25">
      <c r="A8" s="1">
        <f t="shared" si="0"/>
        <v>4</v>
      </c>
      <c r="B8" s="14" t="s">
        <v>14</v>
      </c>
      <c r="C8" s="15">
        <v>46020</v>
      </c>
      <c r="D8" s="14" t="s">
        <v>6</v>
      </c>
      <c r="E8" s="13">
        <v>42750</v>
      </c>
      <c r="F8" s="14" t="s">
        <v>8</v>
      </c>
      <c r="G8" s="14" t="s">
        <v>15</v>
      </c>
    </row>
    <row r="9" spans="1:9" x14ac:dyDescent="0.25">
      <c r="A9" s="1">
        <f t="shared" si="0"/>
        <v>5</v>
      </c>
      <c r="B9" s="14" t="s">
        <v>16</v>
      </c>
      <c r="C9" s="15">
        <v>46020</v>
      </c>
      <c r="D9" s="14" t="s">
        <v>6</v>
      </c>
      <c r="E9" s="13">
        <v>82350</v>
      </c>
      <c r="F9" s="14" t="s">
        <v>8</v>
      </c>
      <c r="G9" s="14" t="s">
        <v>17</v>
      </c>
    </row>
    <row r="10" spans="1:9" x14ac:dyDescent="0.25">
      <c r="A10" s="1">
        <f t="shared" si="0"/>
        <v>6</v>
      </c>
      <c r="B10" s="14" t="s">
        <v>18</v>
      </c>
      <c r="C10" s="15">
        <v>46020</v>
      </c>
      <c r="D10" s="14" t="s">
        <v>6</v>
      </c>
      <c r="E10" s="13">
        <v>139550</v>
      </c>
      <c r="F10" s="14" t="s">
        <v>8</v>
      </c>
      <c r="G10" s="14" t="s">
        <v>19</v>
      </c>
    </row>
    <row r="11" spans="1:9" x14ac:dyDescent="0.25">
      <c r="A11" s="1">
        <f t="shared" si="0"/>
        <v>7</v>
      </c>
      <c r="B11" s="14" t="s">
        <v>20</v>
      </c>
      <c r="C11" s="15">
        <v>46020</v>
      </c>
      <c r="D11" s="14" t="s">
        <v>6</v>
      </c>
      <c r="E11" s="13">
        <v>86750</v>
      </c>
      <c r="F11" s="14" t="s">
        <v>8</v>
      </c>
      <c r="G11" s="14" t="s">
        <v>21</v>
      </c>
    </row>
    <row r="12" spans="1:9" x14ac:dyDescent="0.25">
      <c r="A12" s="1">
        <f t="shared" si="0"/>
        <v>8</v>
      </c>
      <c r="B12" s="14" t="s">
        <v>22</v>
      </c>
      <c r="C12" s="15">
        <v>46021</v>
      </c>
      <c r="D12" s="14" t="s">
        <v>6</v>
      </c>
      <c r="E12" s="13">
        <v>42750</v>
      </c>
      <c r="F12" s="14" t="s">
        <v>8</v>
      </c>
      <c r="G12" s="14" t="s">
        <v>23</v>
      </c>
    </row>
    <row r="13" spans="1:9" x14ac:dyDescent="0.25">
      <c r="A13" s="1">
        <f t="shared" si="0"/>
        <v>9</v>
      </c>
      <c r="B13" s="14" t="s">
        <v>24</v>
      </c>
      <c r="C13" s="15">
        <v>46021</v>
      </c>
      <c r="D13" s="14" t="s">
        <v>6</v>
      </c>
      <c r="E13" s="13">
        <v>12830</v>
      </c>
      <c r="F13" s="14" t="s">
        <v>8</v>
      </c>
      <c r="G13" s="14" t="s">
        <v>25</v>
      </c>
    </row>
    <row r="14" spans="1:9" x14ac:dyDescent="0.25">
      <c r="A14" s="1">
        <f t="shared" si="0"/>
        <v>10</v>
      </c>
      <c r="B14" s="14" t="s">
        <v>26</v>
      </c>
      <c r="C14" s="15">
        <v>46021</v>
      </c>
      <c r="D14" s="14" t="s">
        <v>6</v>
      </c>
      <c r="E14" s="13">
        <v>20750</v>
      </c>
      <c r="F14" s="14" t="s">
        <v>8</v>
      </c>
      <c r="G14" s="14" t="s">
        <v>27</v>
      </c>
    </row>
    <row r="15" spans="1:9" x14ac:dyDescent="0.25">
      <c r="A15" s="1">
        <f t="shared" si="0"/>
        <v>11</v>
      </c>
      <c r="B15" s="14" t="s">
        <v>28</v>
      </c>
      <c r="C15" s="15">
        <v>46021</v>
      </c>
      <c r="D15" s="14" t="s">
        <v>6</v>
      </c>
      <c r="E15" s="13">
        <v>42750</v>
      </c>
      <c r="F15" s="14" t="s">
        <v>8</v>
      </c>
      <c r="G15" s="14" t="s">
        <v>29</v>
      </c>
    </row>
    <row r="16" spans="1:9" x14ac:dyDescent="0.25">
      <c r="A16" s="1">
        <f t="shared" si="0"/>
        <v>12</v>
      </c>
      <c r="B16" s="14" t="s">
        <v>30</v>
      </c>
      <c r="C16" s="15">
        <v>46021</v>
      </c>
      <c r="D16" s="14" t="s">
        <v>6</v>
      </c>
      <c r="E16" s="13">
        <v>152750</v>
      </c>
      <c r="F16" s="14" t="s">
        <v>8</v>
      </c>
      <c r="G16" s="14" t="s">
        <v>31</v>
      </c>
    </row>
    <row r="17" spans="1:7" x14ac:dyDescent="0.25">
      <c r="A17" s="1">
        <f t="shared" si="0"/>
        <v>13</v>
      </c>
      <c r="B17" s="14" t="s">
        <v>32</v>
      </c>
      <c r="C17" s="15">
        <v>46022</v>
      </c>
      <c r="D17" s="14" t="s">
        <v>6</v>
      </c>
      <c r="E17" s="13">
        <v>42750</v>
      </c>
      <c r="F17" s="14" t="s">
        <v>8</v>
      </c>
      <c r="G17" s="14" t="s">
        <v>33</v>
      </c>
    </row>
    <row r="18" spans="1:7" x14ac:dyDescent="0.25">
      <c r="A18" s="1">
        <f t="shared" si="0"/>
        <v>14</v>
      </c>
      <c r="B18" s="14" t="s">
        <v>34</v>
      </c>
      <c r="C18" s="15">
        <v>46022</v>
      </c>
      <c r="D18" s="14" t="s">
        <v>6</v>
      </c>
      <c r="E18" s="13">
        <v>267150</v>
      </c>
      <c r="F18" s="14" t="s">
        <v>8</v>
      </c>
      <c r="G18" s="14" t="s">
        <v>35</v>
      </c>
    </row>
    <row r="19" spans="1:7" x14ac:dyDescent="0.25">
      <c r="A19" s="1">
        <f t="shared" si="0"/>
        <v>15</v>
      </c>
      <c r="B19" s="14" t="s">
        <v>36</v>
      </c>
      <c r="C19" s="15">
        <v>46022</v>
      </c>
      <c r="D19" s="14" t="s">
        <v>6</v>
      </c>
      <c r="E19" s="13">
        <v>2105470</v>
      </c>
      <c r="F19" s="14" t="s">
        <v>8</v>
      </c>
      <c r="G19" s="14" t="s">
        <v>37</v>
      </c>
    </row>
    <row r="20" spans="1:7" x14ac:dyDescent="0.25">
      <c r="A20" s="1">
        <f t="shared" si="0"/>
        <v>16</v>
      </c>
      <c r="B20" s="14" t="s">
        <v>38</v>
      </c>
      <c r="C20" s="15">
        <v>46022</v>
      </c>
      <c r="D20" s="14" t="s">
        <v>6</v>
      </c>
      <c r="E20" s="13">
        <v>20750</v>
      </c>
      <c r="F20" s="14" t="s">
        <v>8</v>
      </c>
      <c r="G20" s="14" t="s">
        <v>39</v>
      </c>
    </row>
    <row r="21" spans="1:7" x14ac:dyDescent="0.25">
      <c r="A21" s="1">
        <f t="shared" si="0"/>
        <v>17</v>
      </c>
      <c r="B21" s="14" t="s">
        <v>40</v>
      </c>
      <c r="C21" s="15">
        <v>46023</v>
      </c>
      <c r="D21" s="14" t="s">
        <v>6</v>
      </c>
      <c r="E21" s="13">
        <v>67950</v>
      </c>
      <c r="F21" s="14" t="s">
        <v>8</v>
      </c>
      <c r="G21" s="14" t="s">
        <v>41</v>
      </c>
    </row>
    <row r="22" spans="1:7" x14ac:dyDescent="0.25">
      <c r="A22" s="1">
        <f t="shared" si="0"/>
        <v>18</v>
      </c>
      <c r="B22" s="14" t="s">
        <v>42</v>
      </c>
      <c r="C22" s="15">
        <v>46023</v>
      </c>
      <c r="D22" s="14" t="s">
        <v>6</v>
      </c>
      <c r="E22" s="13">
        <v>42000</v>
      </c>
      <c r="F22" s="14" t="s">
        <v>8</v>
      </c>
      <c r="G22" s="14" t="s">
        <v>43</v>
      </c>
    </row>
    <row r="23" spans="1:7" x14ac:dyDescent="0.25">
      <c r="A23" s="1">
        <f t="shared" si="0"/>
        <v>19</v>
      </c>
      <c r="B23" s="14" t="s">
        <v>44</v>
      </c>
      <c r="C23" s="15">
        <v>46023</v>
      </c>
      <c r="D23" s="14" t="s">
        <v>6</v>
      </c>
      <c r="E23" s="13">
        <v>262575</v>
      </c>
      <c r="F23" s="14" t="s">
        <v>8</v>
      </c>
      <c r="G23" s="14" t="s">
        <v>45</v>
      </c>
    </row>
    <row r="24" spans="1:7" x14ac:dyDescent="0.25">
      <c r="A24" s="1">
        <f t="shared" si="0"/>
        <v>20</v>
      </c>
      <c r="B24" s="14" t="s">
        <v>46</v>
      </c>
      <c r="C24" s="15">
        <v>46024</v>
      </c>
      <c r="D24" s="14" t="s">
        <v>6</v>
      </c>
      <c r="E24" s="13">
        <v>20375</v>
      </c>
      <c r="F24" s="14" t="s">
        <v>8</v>
      </c>
      <c r="G24" s="14" t="s">
        <v>47</v>
      </c>
    </row>
    <row r="25" spans="1:7" x14ac:dyDescent="0.25">
      <c r="A25" s="1">
        <f t="shared" si="0"/>
        <v>21</v>
      </c>
      <c r="B25" s="14" t="s">
        <v>48</v>
      </c>
      <c r="C25" s="15">
        <v>46024</v>
      </c>
      <c r="D25" s="14" t="s">
        <v>6</v>
      </c>
      <c r="E25" s="13">
        <v>12590</v>
      </c>
      <c r="F25" s="14" t="s">
        <v>8</v>
      </c>
      <c r="G25" s="14" t="s">
        <v>49</v>
      </c>
    </row>
    <row r="26" spans="1:7" x14ac:dyDescent="0.25">
      <c r="A26" s="1">
        <f t="shared" si="0"/>
        <v>22</v>
      </c>
      <c r="B26" s="14" t="s">
        <v>50</v>
      </c>
      <c r="C26" s="15">
        <v>46024</v>
      </c>
      <c r="D26" s="14" t="s">
        <v>6</v>
      </c>
      <c r="E26" s="13">
        <v>63625</v>
      </c>
      <c r="F26" s="14" t="s">
        <v>8</v>
      </c>
      <c r="G26" s="14" t="s">
        <v>51</v>
      </c>
    </row>
    <row r="27" spans="1:7" x14ac:dyDescent="0.25">
      <c r="A27" s="1">
        <f t="shared" si="0"/>
        <v>23</v>
      </c>
      <c r="B27" s="14" t="s">
        <v>52</v>
      </c>
      <c r="C27" s="15">
        <v>46024</v>
      </c>
      <c r="D27" s="14" t="s">
        <v>6</v>
      </c>
      <c r="E27" s="13">
        <v>42000</v>
      </c>
      <c r="F27" s="14" t="s">
        <v>8</v>
      </c>
      <c r="G27" s="14" t="s">
        <v>53</v>
      </c>
    </row>
    <row r="28" spans="1:7" x14ac:dyDescent="0.25">
      <c r="A28" s="1">
        <f t="shared" si="0"/>
        <v>24</v>
      </c>
      <c r="B28" s="14" t="s">
        <v>54</v>
      </c>
      <c r="C28" s="15">
        <v>46024</v>
      </c>
      <c r="D28" s="14" t="s">
        <v>6</v>
      </c>
      <c r="E28" s="13">
        <v>12590</v>
      </c>
      <c r="F28" s="14" t="s">
        <v>8</v>
      </c>
      <c r="G28" s="14" t="s">
        <v>55</v>
      </c>
    </row>
    <row r="29" spans="1:7" x14ac:dyDescent="0.25">
      <c r="A29" s="1">
        <f t="shared" si="0"/>
        <v>25</v>
      </c>
      <c r="B29" s="14" t="s">
        <v>56</v>
      </c>
      <c r="C29" s="15">
        <v>46024</v>
      </c>
      <c r="D29" s="14" t="s">
        <v>6</v>
      </c>
      <c r="E29" s="13">
        <v>20375</v>
      </c>
      <c r="F29" s="14" t="s">
        <v>8</v>
      </c>
      <c r="G29" s="14" t="s">
        <v>57</v>
      </c>
    </row>
    <row r="30" spans="1:7" x14ac:dyDescent="0.25">
      <c r="A30" s="1">
        <f t="shared" si="0"/>
        <v>26</v>
      </c>
      <c r="B30" s="14" t="s">
        <v>58</v>
      </c>
      <c r="C30" s="15">
        <v>46024</v>
      </c>
      <c r="D30" s="14" t="s">
        <v>6</v>
      </c>
      <c r="E30" s="13">
        <v>20375</v>
      </c>
      <c r="F30" s="14" t="s">
        <v>8</v>
      </c>
      <c r="G30" s="14" t="s">
        <v>59</v>
      </c>
    </row>
    <row r="31" spans="1:7" x14ac:dyDescent="0.25">
      <c r="A31" s="1">
        <f t="shared" si="0"/>
        <v>27</v>
      </c>
      <c r="B31" s="14" t="s">
        <v>60</v>
      </c>
      <c r="C31" s="15">
        <v>46025</v>
      </c>
      <c r="D31" s="14" t="s">
        <v>6</v>
      </c>
      <c r="E31" s="13">
        <v>42000</v>
      </c>
      <c r="F31" s="14" t="s">
        <v>8</v>
      </c>
      <c r="G31" s="14" t="s">
        <v>61</v>
      </c>
    </row>
    <row r="32" spans="1:7" x14ac:dyDescent="0.25">
      <c r="A32" s="1">
        <f t="shared" si="0"/>
        <v>28</v>
      </c>
      <c r="B32" s="14" t="s">
        <v>62</v>
      </c>
      <c r="C32" s="15">
        <v>46025</v>
      </c>
      <c r="D32" s="14" t="s">
        <v>6</v>
      </c>
      <c r="E32" s="13">
        <v>1625815</v>
      </c>
      <c r="F32" s="14" t="s">
        <v>8</v>
      </c>
      <c r="G32" s="14" t="s">
        <v>63</v>
      </c>
    </row>
    <row r="33" spans="1:9" x14ac:dyDescent="0.25">
      <c r="A33" s="1">
        <f t="shared" si="0"/>
        <v>29</v>
      </c>
      <c r="B33" s="14" t="s">
        <v>64</v>
      </c>
      <c r="C33" s="15">
        <v>46025</v>
      </c>
      <c r="D33" s="14" t="s">
        <v>6</v>
      </c>
      <c r="E33" s="13">
        <v>26430</v>
      </c>
      <c r="F33" s="14" t="s">
        <v>8</v>
      </c>
      <c r="G33" s="14" t="s">
        <v>65</v>
      </c>
    </row>
    <row r="34" spans="1:9" x14ac:dyDescent="0.25">
      <c r="A34" s="1">
        <f t="shared" si="0"/>
        <v>30</v>
      </c>
      <c r="B34" s="14" t="s">
        <v>66</v>
      </c>
      <c r="C34" s="15">
        <v>46026</v>
      </c>
      <c r="D34" s="14" t="s">
        <v>6</v>
      </c>
      <c r="E34" s="13">
        <v>24700</v>
      </c>
      <c r="F34" s="14" t="s">
        <v>8</v>
      </c>
      <c r="G34" s="14" t="s">
        <v>67</v>
      </c>
    </row>
    <row r="35" spans="1:9" x14ac:dyDescent="0.25">
      <c r="A35" s="1">
        <f t="shared" si="0"/>
        <v>31</v>
      </c>
      <c r="B35" s="14" t="s">
        <v>68</v>
      </c>
      <c r="C35" s="15">
        <v>46026</v>
      </c>
      <c r="D35" s="14" t="s">
        <v>6</v>
      </c>
      <c r="E35" s="13">
        <v>42000</v>
      </c>
      <c r="F35" s="14" t="s">
        <v>8</v>
      </c>
      <c r="G35" s="14" t="s">
        <v>69</v>
      </c>
    </row>
    <row r="36" spans="1:9" x14ac:dyDescent="0.25">
      <c r="A36" s="1">
        <f t="shared" si="0"/>
        <v>32</v>
      </c>
      <c r="B36" s="14" t="s">
        <v>70</v>
      </c>
      <c r="C36" s="15">
        <v>46026</v>
      </c>
      <c r="D36" s="14" t="s">
        <v>6</v>
      </c>
      <c r="E36" s="13">
        <v>137150</v>
      </c>
      <c r="F36" s="14" t="s">
        <v>8</v>
      </c>
      <c r="G36" s="14" t="s">
        <v>71</v>
      </c>
    </row>
    <row r="37" spans="1:9" x14ac:dyDescent="0.25">
      <c r="A37" s="1">
        <f t="shared" si="0"/>
        <v>33</v>
      </c>
      <c r="B37" s="17" t="s">
        <v>73</v>
      </c>
      <c r="C37" s="18">
        <v>46020</v>
      </c>
      <c r="D37" s="17" t="s">
        <v>72</v>
      </c>
      <c r="E37" s="16">
        <v>88616</v>
      </c>
      <c r="F37" s="17" t="s">
        <v>8</v>
      </c>
      <c r="G37" s="17" t="s">
        <v>74</v>
      </c>
    </row>
    <row r="38" spans="1:9" x14ac:dyDescent="0.25">
      <c r="A38" s="1">
        <f t="shared" si="0"/>
        <v>34</v>
      </c>
      <c r="B38" s="17" t="s">
        <v>75</v>
      </c>
      <c r="C38" s="18">
        <v>46020</v>
      </c>
      <c r="D38" s="17" t="s">
        <v>72</v>
      </c>
      <c r="E38" s="16">
        <v>77070</v>
      </c>
      <c r="F38" s="17" t="s">
        <v>8</v>
      </c>
      <c r="G38" s="17" t="s">
        <v>76</v>
      </c>
    </row>
    <row r="39" spans="1:9" x14ac:dyDescent="0.25">
      <c r="A39" s="1">
        <f t="shared" si="0"/>
        <v>35</v>
      </c>
      <c r="B39" s="17" t="s">
        <v>77</v>
      </c>
      <c r="C39" s="18">
        <v>46021</v>
      </c>
      <c r="D39" s="17" t="s">
        <v>72</v>
      </c>
      <c r="E39" s="16">
        <v>20675</v>
      </c>
      <c r="F39" s="17" t="s">
        <v>8</v>
      </c>
      <c r="G39" s="17" t="s">
        <v>78</v>
      </c>
    </row>
    <row r="40" spans="1:9" x14ac:dyDescent="0.25">
      <c r="A40" s="1">
        <f t="shared" si="0"/>
        <v>36</v>
      </c>
      <c r="B40" s="17" t="s">
        <v>79</v>
      </c>
      <c r="C40" s="18">
        <v>46021</v>
      </c>
      <c r="D40" s="17" t="s">
        <v>72</v>
      </c>
      <c r="E40" s="16">
        <v>663750</v>
      </c>
      <c r="F40" s="17" t="s">
        <v>8</v>
      </c>
      <c r="G40" s="17" t="s">
        <v>80</v>
      </c>
    </row>
    <row r="41" spans="1:9" x14ac:dyDescent="0.25">
      <c r="A41" s="1">
        <f t="shared" si="0"/>
        <v>37</v>
      </c>
      <c r="B41" s="17" t="s">
        <v>81</v>
      </c>
      <c r="C41" s="18">
        <v>46022</v>
      </c>
      <c r="D41" s="17" t="s">
        <v>72</v>
      </c>
      <c r="E41" s="16">
        <v>1145000</v>
      </c>
      <c r="F41" s="17" t="s">
        <v>8</v>
      </c>
      <c r="G41" s="17" t="s">
        <v>82</v>
      </c>
    </row>
    <row r="42" spans="1:9" x14ac:dyDescent="0.25">
      <c r="A42" s="1">
        <f t="shared" si="0"/>
        <v>38</v>
      </c>
      <c r="B42" s="17" t="s">
        <v>83</v>
      </c>
      <c r="C42" s="18">
        <v>46023</v>
      </c>
      <c r="D42" s="17" t="s">
        <v>72</v>
      </c>
      <c r="E42" s="16">
        <v>122545</v>
      </c>
      <c r="F42" s="17" t="s">
        <v>8</v>
      </c>
      <c r="G42" s="17" t="s">
        <v>84</v>
      </c>
    </row>
    <row r="43" spans="1:9" x14ac:dyDescent="0.25">
      <c r="A43" s="1">
        <f t="shared" si="0"/>
        <v>39</v>
      </c>
      <c r="B43" s="17" t="s">
        <v>85</v>
      </c>
      <c r="C43" s="18">
        <v>46024</v>
      </c>
      <c r="D43" s="17" t="s">
        <v>72</v>
      </c>
      <c r="E43" s="16">
        <v>146650</v>
      </c>
      <c r="F43" s="17" t="s">
        <v>8</v>
      </c>
      <c r="G43" s="17" t="s">
        <v>86</v>
      </c>
    </row>
    <row r="44" spans="1:9" x14ac:dyDescent="0.25">
      <c r="A44" s="1">
        <f t="shared" si="0"/>
        <v>40</v>
      </c>
      <c r="B44" s="17" t="s">
        <v>87</v>
      </c>
      <c r="C44" s="18">
        <v>46025</v>
      </c>
      <c r="D44" s="17" t="s">
        <v>72</v>
      </c>
      <c r="E44" s="16">
        <v>223390</v>
      </c>
      <c r="F44" s="17" t="s">
        <v>8</v>
      </c>
      <c r="G44" s="17" t="s">
        <v>88</v>
      </c>
    </row>
    <row r="45" spans="1:9" x14ac:dyDescent="0.25">
      <c r="A45" s="1">
        <f t="shared" si="0"/>
        <v>41</v>
      </c>
      <c r="B45" s="17" t="s">
        <v>89</v>
      </c>
      <c r="C45" s="18">
        <v>46026</v>
      </c>
      <c r="D45" s="17" t="s">
        <v>72</v>
      </c>
      <c r="E45" s="16">
        <v>21675</v>
      </c>
      <c r="F45" s="17" t="s">
        <v>8</v>
      </c>
      <c r="G45" s="17" t="s">
        <v>90</v>
      </c>
    </row>
    <row r="46" spans="1:9" x14ac:dyDescent="0.25">
      <c r="C46" s="51" t="s">
        <v>204</v>
      </c>
      <c r="D46" s="51"/>
      <c r="E46" s="23">
        <f>SUM(E5:E45)</f>
        <v>8099681</v>
      </c>
      <c r="G46" s="25">
        <f>E46*0.15</f>
        <v>1214952.1499999999</v>
      </c>
    </row>
    <row r="47" spans="1:9" x14ac:dyDescent="0.25">
      <c r="A47"/>
      <c r="B47"/>
      <c r="C47" s="58">
        <v>46027</v>
      </c>
      <c r="D47" s="59"/>
      <c r="E47" s="54" t="s">
        <v>347</v>
      </c>
      <c r="F47" s="54"/>
      <c r="G47" s="26">
        <v>565000</v>
      </c>
    </row>
    <row r="48" spans="1:9" x14ac:dyDescent="0.25">
      <c r="G48" s="48">
        <f>G46-G47</f>
        <v>649952.14999999991</v>
      </c>
      <c r="H48" s="60" t="s">
        <v>478</v>
      </c>
      <c r="I48" s="60"/>
    </row>
    <row r="50" spans="1:7" x14ac:dyDescent="0.25">
      <c r="A50" s="52" t="s">
        <v>348</v>
      </c>
      <c r="B50" s="61"/>
      <c r="C50" s="61"/>
      <c r="D50" s="61"/>
      <c r="E50" s="61"/>
      <c r="F50" s="61"/>
      <c r="G50" s="61"/>
    </row>
    <row r="51" spans="1:7" x14ac:dyDescent="0.25">
      <c r="A51" s="61"/>
      <c r="B51" s="61"/>
      <c r="C51" s="61"/>
      <c r="D51" s="61"/>
      <c r="E51" s="61"/>
      <c r="F51" s="61"/>
      <c r="G51" s="61"/>
    </row>
    <row r="52" spans="1:7" ht="15.75" x14ac:dyDescent="0.25">
      <c r="A52" s="53" t="s">
        <v>422</v>
      </c>
      <c r="B52" s="53"/>
      <c r="C52" s="53"/>
      <c r="D52" s="53"/>
      <c r="E52" s="53"/>
      <c r="F52" s="53"/>
      <c r="G52" s="53"/>
    </row>
    <row r="53" spans="1:7" ht="30" x14ac:dyDescent="0.25">
      <c r="A53" s="12" t="s">
        <v>202</v>
      </c>
      <c r="B53" s="10" t="s">
        <v>203</v>
      </c>
      <c r="C53" s="10" t="s">
        <v>1</v>
      </c>
      <c r="D53" s="10" t="s">
        <v>2</v>
      </c>
      <c r="E53" s="10" t="s">
        <v>3</v>
      </c>
      <c r="F53" s="10" t="s">
        <v>4</v>
      </c>
      <c r="G53" s="11" t="s">
        <v>5</v>
      </c>
    </row>
    <row r="54" spans="1:7" x14ac:dyDescent="0.25">
      <c r="A54" s="1">
        <v>1</v>
      </c>
      <c r="B54" s="43" t="s">
        <v>139</v>
      </c>
      <c r="C54" s="44">
        <v>46027</v>
      </c>
      <c r="D54" s="43" t="s">
        <v>6</v>
      </c>
      <c r="E54" s="46">
        <v>42000</v>
      </c>
      <c r="F54" s="43" t="s">
        <v>8</v>
      </c>
      <c r="G54" s="43" t="s">
        <v>140</v>
      </c>
    </row>
    <row r="55" spans="1:7" x14ac:dyDescent="0.25">
      <c r="A55" s="1">
        <v>2</v>
      </c>
      <c r="B55" s="43" t="s">
        <v>353</v>
      </c>
      <c r="C55" s="44">
        <v>46027</v>
      </c>
      <c r="D55" s="43" t="s">
        <v>6</v>
      </c>
      <c r="E55" s="46">
        <v>12235</v>
      </c>
      <c r="F55" s="43" t="s">
        <v>8</v>
      </c>
      <c r="G55" s="43" t="s">
        <v>150</v>
      </c>
    </row>
    <row r="56" spans="1:7" x14ac:dyDescent="0.25">
      <c r="A56" s="1">
        <v>3</v>
      </c>
      <c r="B56" s="4" t="s">
        <v>141</v>
      </c>
      <c r="C56" s="45">
        <v>46027</v>
      </c>
      <c r="D56" s="4" t="s">
        <v>6</v>
      </c>
      <c r="E56" s="5">
        <v>25250</v>
      </c>
      <c r="F56" s="4" t="s">
        <v>8</v>
      </c>
      <c r="G56" s="4" t="s">
        <v>142</v>
      </c>
    </row>
    <row r="57" spans="1:7" x14ac:dyDescent="0.25">
      <c r="A57" s="1">
        <v>4</v>
      </c>
      <c r="B57" s="43" t="s">
        <v>143</v>
      </c>
      <c r="C57" s="44">
        <v>46027</v>
      </c>
      <c r="D57" s="43" t="s">
        <v>6</v>
      </c>
      <c r="E57" s="46">
        <v>67950</v>
      </c>
      <c r="F57" s="43" t="s">
        <v>8</v>
      </c>
      <c r="G57" s="43" t="s">
        <v>144</v>
      </c>
    </row>
    <row r="58" spans="1:7" x14ac:dyDescent="0.25">
      <c r="A58" s="1">
        <v>5</v>
      </c>
      <c r="B58" s="43" t="s">
        <v>145</v>
      </c>
      <c r="C58" s="44">
        <v>46027</v>
      </c>
      <c r="D58" s="43" t="s">
        <v>6</v>
      </c>
      <c r="E58" s="46">
        <v>616360</v>
      </c>
      <c r="F58" s="43" t="s">
        <v>8</v>
      </c>
      <c r="G58" s="43" t="s">
        <v>146</v>
      </c>
    </row>
    <row r="59" spans="1:7" x14ac:dyDescent="0.25">
      <c r="A59" s="1">
        <v>6</v>
      </c>
      <c r="B59" s="43" t="s">
        <v>147</v>
      </c>
      <c r="C59" s="44">
        <v>46027</v>
      </c>
      <c r="D59" s="43" t="s">
        <v>6</v>
      </c>
      <c r="E59" s="46">
        <v>616360</v>
      </c>
      <c r="F59" s="43" t="s">
        <v>8</v>
      </c>
      <c r="G59" s="43" t="s">
        <v>148</v>
      </c>
    </row>
    <row r="60" spans="1:7" x14ac:dyDescent="0.25">
      <c r="A60" s="1">
        <v>7</v>
      </c>
      <c r="B60" s="43" t="s">
        <v>151</v>
      </c>
      <c r="C60" s="44">
        <v>46028</v>
      </c>
      <c r="D60" s="43" t="s">
        <v>6</v>
      </c>
      <c r="E60" s="46">
        <v>12590</v>
      </c>
      <c r="F60" s="43" t="s">
        <v>8</v>
      </c>
      <c r="G60" s="43" t="s">
        <v>152</v>
      </c>
    </row>
    <row r="61" spans="1:7" x14ac:dyDescent="0.25">
      <c r="A61" s="1">
        <v>8</v>
      </c>
      <c r="B61" s="43" t="s">
        <v>153</v>
      </c>
      <c r="C61" s="44">
        <v>46028</v>
      </c>
      <c r="D61" s="43" t="s">
        <v>6</v>
      </c>
      <c r="E61" s="46">
        <v>42000</v>
      </c>
      <c r="F61" s="43" t="s">
        <v>8</v>
      </c>
      <c r="G61" s="43" t="s">
        <v>154</v>
      </c>
    </row>
    <row r="62" spans="1:7" x14ac:dyDescent="0.25">
      <c r="A62" s="1">
        <v>9</v>
      </c>
      <c r="B62" s="43" t="s">
        <v>155</v>
      </c>
      <c r="C62" s="44">
        <v>46028</v>
      </c>
      <c r="D62" s="43" t="s">
        <v>6</v>
      </c>
      <c r="E62" s="46">
        <v>457200</v>
      </c>
      <c r="F62" s="43" t="s">
        <v>8</v>
      </c>
      <c r="G62" s="43" t="s">
        <v>156</v>
      </c>
    </row>
    <row r="63" spans="1:7" x14ac:dyDescent="0.25">
      <c r="A63" s="1">
        <v>10</v>
      </c>
      <c r="B63" s="43" t="s">
        <v>157</v>
      </c>
      <c r="C63" s="44">
        <v>46028</v>
      </c>
      <c r="D63" s="43" t="s">
        <v>6</v>
      </c>
      <c r="E63" s="46">
        <v>258250</v>
      </c>
      <c r="F63" s="43" t="s">
        <v>8</v>
      </c>
      <c r="G63" s="43" t="s">
        <v>158</v>
      </c>
    </row>
    <row r="64" spans="1:7" x14ac:dyDescent="0.25">
      <c r="A64" s="1">
        <v>11</v>
      </c>
      <c r="B64" s="43" t="s">
        <v>159</v>
      </c>
      <c r="C64" s="44">
        <v>46028</v>
      </c>
      <c r="D64" s="43" t="s">
        <v>6</v>
      </c>
      <c r="E64" s="46">
        <v>80060</v>
      </c>
      <c r="F64" s="43" t="s">
        <v>8</v>
      </c>
      <c r="G64" s="43" t="s">
        <v>160</v>
      </c>
    </row>
    <row r="65" spans="1:7" x14ac:dyDescent="0.25">
      <c r="A65" s="1">
        <v>12</v>
      </c>
      <c r="B65" s="43" t="s">
        <v>161</v>
      </c>
      <c r="C65" s="44">
        <v>46028</v>
      </c>
      <c r="D65" s="43" t="s">
        <v>6</v>
      </c>
      <c r="E65" s="46">
        <v>64398</v>
      </c>
      <c r="F65" s="43" t="s">
        <v>8</v>
      </c>
      <c r="G65" s="43" t="s">
        <v>162</v>
      </c>
    </row>
    <row r="66" spans="1:7" x14ac:dyDescent="0.25">
      <c r="A66" s="1">
        <v>13</v>
      </c>
      <c r="B66" s="43" t="s">
        <v>163</v>
      </c>
      <c r="C66" s="44">
        <v>46028</v>
      </c>
      <c r="D66" s="43" t="s">
        <v>6</v>
      </c>
      <c r="E66" s="46">
        <v>301500</v>
      </c>
      <c r="F66" s="43" t="s">
        <v>8</v>
      </c>
      <c r="G66" s="43" t="s">
        <v>164</v>
      </c>
    </row>
    <row r="67" spans="1:7" x14ac:dyDescent="0.25">
      <c r="A67" s="1">
        <v>14</v>
      </c>
      <c r="B67" s="43" t="s">
        <v>165</v>
      </c>
      <c r="C67" s="44">
        <v>46029</v>
      </c>
      <c r="D67" s="43" t="s">
        <v>6</v>
      </c>
      <c r="E67" s="46">
        <v>42000</v>
      </c>
      <c r="F67" s="43" t="s">
        <v>8</v>
      </c>
      <c r="G67" s="43" t="s">
        <v>166</v>
      </c>
    </row>
    <row r="68" spans="1:7" x14ac:dyDescent="0.25">
      <c r="A68" s="1">
        <v>15</v>
      </c>
      <c r="B68" s="43" t="s">
        <v>167</v>
      </c>
      <c r="C68" s="44">
        <v>46029</v>
      </c>
      <c r="D68" s="43" t="s">
        <v>6</v>
      </c>
      <c r="E68" s="46">
        <v>80925</v>
      </c>
      <c r="F68" s="43" t="s">
        <v>8</v>
      </c>
      <c r="G68" s="43" t="s">
        <v>168</v>
      </c>
    </row>
    <row r="69" spans="1:7" x14ac:dyDescent="0.25">
      <c r="A69" s="1">
        <v>16</v>
      </c>
      <c r="B69" s="43" t="s">
        <v>354</v>
      </c>
      <c r="C69" s="44">
        <v>46029</v>
      </c>
      <c r="D69" s="43" t="s">
        <v>6</v>
      </c>
      <c r="E69" s="46">
        <v>411550</v>
      </c>
      <c r="F69" s="43" t="s">
        <v>8</v>
      </c>
      <c r="G69" s="43" t="s">
        <v>355</v>
      </c>
    </row>
    <row r="70" spans="1:7" x14ac:dyDescent="0.25">
      <c r="A70" s="1">
        <v>17</v>
      </c>
      <c r="B70" s="43" t="s">
        <v>356</v>
      </c>
      <c r="C70" s="44">
        <v>46029</v>
      </c>
      <c r="D70" s="43" t="s">
        <v>6</v>
      </c>
      <c r="E70" s="46">
        <v>343225</v>
      </c>
      <c r="F70" s="43" t="s">
        <v>8</v>
      </c>
      <c r="G70" s="43" t="s">
        <v>357</v>
      </c>
    </row>
    <row r="71" spans="1:7" x14ac:dyDescent="0.25">
      <c r="A71" s="1">
        <v>18</v>
      </c>
      <c r="B71" s="43" t="s">
        <v>358</v>
      </c>
      <c r="C71" s="44">
        <v>46029</v>
      </c>
      <c r="D71" s="43" t="s">
        <v>6</v>
      </c>
      <c r="E71" s="46">
        <v>80925</v>
      </c>
      <c r="F71" s="43" t="s">
        <v>8</v>
      </c>
      <c r="G71" s="43" t="s">
        <v>359</v>
      </c>
    </row>
    <row r="72" spans="1:7" x14ac:dyDescent="0.25">
      <c r="A72" s="1">
        <v>19</v>
      </c>
      <c r="B72" s="43" t="s">
        <v>360</v>
      </c>
      <c r="C72" s="44">
        <v>46029</v>
      </c>
      <c r="D72" s="43" t="s">
        <v>6</v>
      </c>
      <c r="E72" s="46">
        <v>93900</v>
      </c>
      <c r="F72" s="43" t="s">
        <v>8</v>
      </c>
      <c r="G72" s="43" t="s">
        <v>361</v>
      </c>
    </row>
    <row r="73" spans="1:7" x14ac:dyDescent="0.25">
      <c r="A73" s="1">
        <v>20</v>
      </c>
      <c r="B73" s="43" t="s">
        <v>362</v>
      </c>
      <c r="C73" s="44">
        <v>46029</v>
      </c>
      <c r="D73" s="43" t="s">
        <v>6</v>
      </c>
      <c r="E73" s="46">
        <v>983985</v>
      </c>
      <c r="F73" s="43" t="s">
        <v>8</v>
      </c>
      <c r="G73" s="43" t="s">
        <v>363</v>
      </c>
    </row>
    <row r="74" spans="1:7" x14ac:dyDescent="0.25">
      <c r="A74" s="1">
        <v>21</v>
      </c>
      <c r="B74" s="43" t="s">
        <v>364</v>
      </c>
      <c r="C74" s="44">
        <v>46029</v>
      </c>
      <c r="D74" s="43" t="s">
        <v>6</v>
      </c>
      <c r="E74" s="46">
        <v>598195</v>
      </c>
      <c r="F74" s="43" t="s">
        <v>8</v>
      </c>
      <c r="G74" s="43" t="s">
        <v>365</v>
      </c>
    </row>
    <row r="75" spans="1:7" x14ac:dyDescent="0.25">
      <c r="A75" s="1">
        <v>22</v>
      </c>
      <c r="B75" s="43" t="s">
        <v>366</v>
      </c>
      <c r="C75" s="44">
        <v>46029</v>
      </c>
      <c r="D75" s="43" t="s">
        <v>6</v>
      </c>
      <c r="E75" s="46">
        <v>27295</v>
      </c>
      <c r="F75" s="43" t="s">
        <v>8</v>
      </c>
      <c r="G75" s="43" t="s">
        <v>367</v>
      </c>
    </row>
    <row r="76" spans="1:7" x14ac:dyDescent="0.25">
      <c r="A76" s="1">
        <v>23</v>
      </c>
      <c r="B76" s="43" t="s">
        <v>368</v>
      </c>
      <c r="C76" s="44">
        <v>46029</v>
      </c>
      <c r="D76" s="43" t="s">
        <v>6</v>
      </c>
      <c r="E76" s="46">
        <v>85250</v>
      </c>
      <c r="F76" s="43" t="s">
        <v>8</v>
      </c>
      <c r="G76" s="43" t="s">
        <v>369</v>
      </c>
    </row>
    <row r="77" spans="1:7" x14ac:dyDescent="0.25">
      <c r="A77" s="1">
        <v>24</v>
      </c>
      <c r="B77" s="43" t="s">
        <v>370</v>
      </c>
      <c r="C77" s="44">
        <v>46029</v>
      </c>
      <c r="D77" s="43" t="s">
        <v>6</v>
      </c>
      <c r="E77" s="46">
        <v>40270</v>
      </c>
      <c r="F77" s="43" t="s">
        <v>8</v>
      </c>
      <c r="G77" s="43" t="s">
        <v>371</v>
      </c>
    </row>
    <row r="78" spans="1:7" x14ac:dyDescent="0.25">
      <c r="A78" s="1">
        <v>25</v>
      </c>
      <c r="B78" s="43" t="s">
        <v>372</v>
      </c>
      <c r="C78" s="44">
        <v>46029</v>
      </c>
      <c r="D78" s="43" t="s">
        <v>6</v>
      </c>
      <c r="E78" s="46">
        <v>150125</v>
      </c>
      <c r="F78" s="43" t="s">
        <v>8</v>
      </c>
      <c r="G78" s="43" t="s">
        <v>373</v>
      </c>
    </row>
    <row r="79" spans="1:7" x14ac:dyDescent="0.25">
      <c r="A79" s="1">
        <v>26</v>
      </c>
      <c r="B79" s="43" t="s">
        <v>374</v>
      </c>
      <c r="C79" s="44">
        <v>46029</v>
      </c>
      <c r="D79" s="43" t="s">
        <v>6</v>
      </c>
      <c r="E79" s="46">
        <v>669125</v>
      </c>
      <c r="F79" s="43" t="s">
        <v>8</v>
      </c>
      <c r="G79" s="43" t="s">
        <v>375</v>
      </c>
    </row>
    <row r="80" spans="1:7" x14ac:dyDescent="0.25">
      <c r="A80" s="1">
        <v>27</v>
      </c>
      <c r="B80" s="43" t="s">
        <v>376</v>
      </c>
      <c r="C80" s="44">
        <v>46030</v>
      </c>
      <c r="D80" s="43" t="s">
        <v>6</v>
      </c>
      <c r="E80" s="46">
        <v>42000</v>
      </c>
      <c r="F80" s="43" t="s">
        <v>8</v>
      </c>
      <c r="G80" s="43" t="s">
        <v>377</v>
      </c>
    </row>
    <row r="81" spans="1:7" x14ac:dyDescent="0.25">
      <c r="A81" s="1">
        <v>28</v>
      </c>
      <c r="B81" s="43" t="s">
        <v>378</v>
      </c>
      <c r="C81" s="44">
        <v>46030</v>
      </c>
      <c r="D81" s="43" t="s">
        <v>6</v>
      </c>
      <c r="E81" s="46">
        <v>249600</v>
      </c>
      <c r="F81" s="43" t="s">
        <v>8</v>
      </c>
      <c r="G81" s="43" t="s">
        <v>379</v>
      </c>
    </row>
    <row r="82" spans="1:7" x14ac:dyDescent="0.25">
      <c r="A82" s="1">
        <v>29</v>
      </c>
      <c r="B82" s="43" t="s">
        <v>380</v>
      </c>
      <c r="C82" s="44">
        <v>46030</v>
      </c>
      <c r="D82" s="43" t="s">
        <v>6</v>
      </c>
      <c r="E82" s="46">
        <v>27295</v>
      </c>
      <c r="F82" s="43" t="s">
        <v>8</v>
      </c>
      <c r="G82" s="43" t="s">
        <v>381</v>
      </c>
    </row>
    <row r="83" spans="1:7" x14ac:dyDescent="0.25">
      <c r="A83" s="1">
        <v>30</v>
      </c>
      <c r="B83" s="43" t="s">
        <v>382</v>
      </c>
      <c r="C83" s="44">
        <v>46030</v>
      </c>
      <c r="D83" s="43" t="s">
        <v>6</v>
      </c>
      <c r="E83" s="46">
        <v>656150</v>
      </c>
      <c r="F83" s="43" t="s">
        <v>8</v>
      </c>
      <c r="G83" s="43" t="s">
        <v>383</v>
      </c>
    </row>
    <row r="84" spans="1:7" x14ac:dyDescent="0.25">
      <c r="A84" s="1">
        <v>31</v>
      </c>
      <c r="B84" s="43" t="s">
        <v>384</v>
      </c>
      <c r="C84" s="44">
        <v>46030</v>
      </c>
      <c r="D84" s="43" t="s">
        <v>6</v>
      </c>
      <c r="E84" s="46">
        <v>46325</v>
      </c>
      <c r="F84" s="43" t="s">
        <v>8</v>
      </c>
      <c r="G84" s="43" t="s">
        <v>385</v>
      </c>
    </row>
    <row r="85" spans="1:7" x14ac:dyDescent="0.25">
      <c r="A85" s="1">
        <v>32</v>
      </c>
      <c r="B85" s="43" t="s">
        <v>386</v>
      </c>
      <c r="C85" s="44">
        <v>46030</v>
      </c>
      <c r="D85" s="43" t="s">
        <v>6</v>
      </c>
      <c r="E85" s="46">
        <v>48055</v>
      </c>
      <c r="F85" s="43" t="s">
        <v>8</v>
      </c>
      <c r="G85" s="43" t="s">
        <v>387</v>
      </c>
    </row>
    <row r="86" spans="1:7" x14ac:dyDescent="0.25">
      <c r="A86" s="1">
        <v>33</v>
      </c>
      <c r="B86" s="43" t="s">
        <v>388</v>
      </c>
      <c r="C86" s="44">
        <v>46030</v>
      </c>
      <c r="D86" s="43" t="s">
        <v>6</v>
      </c>
      <c r="E86" s="46">
        <v>42000</v>
      </c>
      <c r="F86" s="43" t="s">
        <v>8</v>
      </c>
      <c r="G86" s="43" t="s">
        <v>389</v>
      </c>
    </row>
    <row r="87" spans="1:7" x14ac:dyDescent="0.25">
      <c r="A87" s="1">
        <v>34</v>
      </c>
      <c r="B87" s="43" t="s">
        <v>390</v>
      </c>
      <c r="C87" s="44">
        <v>46030</v>
      </c>
      <c r="D87" s="43" t="s">
        <v>6</v>
      </c>
      <c r="E87" s="46">
        <v>20375</v>
      </c>
      <c r="F87" s="43" t="s">
        <v>8</v>
      </c>
      <c r="G87" s="43" t="s">
        <v>391</v>
      </c>
    </row>
    <row r="88" spans="1:7" x14ac:dyDescent="0.25">
      <c r="A88" s="1">
        <v>35</v>
      </c>
      <c r="B88" s="43" t="s">
        <v>392</v>
      </c>
      <c r="C88" s="44">
        <v>46031</v>
      </c>
      <c r="D88" s="43" t="s">
        <v>6</v>
      </c>
      <c r="E88" s="46">
        <v>193375</v>
      </c>
      <c r="F88" s="43" t="s">
        <v>8</v>
      </c>
      <c r="G88" s="43" t="s">
        <v>393</v>
      </c>
    </row>
    <row r="89" spans="1:7" x14ac:dyDescent="0.25">
      <c r="A89" s="1">
        <v>36</v>
      </c>
      <c r="B89" s="43" t="s">
        <v>394</v>
      </c>
      <c r="C89" s="44">
        <v>46031</v>
      </c>
      <c r="D89" s="43" t="s">
        <v>6</v>
      </c>
      <c r="E89" s="46">
        <v>20375</v>
      </c>
      <c r="F89" s="43" t="s">
        <v>8</v>
      </c>
      <c r="G89" s="43" t="s">
        <v>395</v>
      </c>
    </row>
    <row r="90" spans="1:7" x14ac:dyDescent="0.25">
      <c r="A90" s="1">
        <v>37</v>
      </c>
      <c r="B90" s="43" t="s">
        <v>396</v>
      </c>
      <c r="C90" s="44">
        <v>46031</v>
      </c>
      <c r="D90" s="43" t="s">
        <v>6</v>
      </c>
      <c r="E90" s="46">
        <v>20375</v>
      </c>
      <c r="F90" s="43" t="s">
        <v>8</v>
      </c>
      <c r="G90" s="43" t="s">
        <v>397</v>
      </c>
    </row>
    <row r="91" spans="1:7" x14ac:dyDescent="0.25">
      <c r="A91" s="1">
        <v>38</v>
      </c>
      <c r="B91" s="43" t="s">
        <v>398</v>
      </c>
      <c r="C91" s="44">
        <v>46031</v>
      </c>
      <c r="D91" s="43" t="s">
        <v>6</v>
      </c>
      <c r="E91" s="46">
        <v>2335115</v>
      </c>
      <c r="F91" s="43" t="s">
        <v>8</v>
      </c>
      <c r="G91" s="43" t="s">
        <v>399</v>
      </c>
    </row>
    <row r="92" spans="1:7" x14ac:dyDescent="0.25">
      <c r="A92" s="1">
        <v>39</v>
      </c>
      <c r="B92" s="43" t="s">
        <v>400</v>
      </c>
      <c r="C92" s="44">
        <v>46031</v>
      </c>
      <c r="D92" s="43" t="s">
        <v>6</v>
      </c>
      <c r="E92" s="46">
        <v>262575</v>
      </c>
      <c r="F92" s="43" t="s">
        <v>8</v>
      </c>
      <c r="G92" s="43" t="s">
        <v>401</v>
      </c>
    </row>
    <row r="93" spans="1:7" x14ac:dyDescent="0.25">
      <c r="A93" s="1">
        <v>40</v>
      </c>
      <c r="B93" s="43" t="s">
        <v>402</v>
      </c>
      <c r="C93" s="44">
        <v>46031</v>
      </c>
      <c r="D93" s="43" t="s">
        <v>6</v>
      </c>
      <c r="E93" s="46">
        <v>24700</v>
      </c>
      <c r="F93" s="43" t="s">
        <v>8</v>
      </c>
      <c r="G93" s="43" t="s">
        <v>403</v>
      </c>
    </row>
    <row r="94" spans="1:7" x14ac:dyDescent="0.25">
      <c r="A94" s="1">
        <v>41</v>
      </c>
      <c r="B94" s="43" t="s">
        <v>404</v>
      </c>
      <c r="C94" s="44">
        <v>46031</v>
      </c>
      <c r="D94" s="43" t="s">
        <v>6</v>
      </c>
      <c r="E94" s="46">
        <v>20375</v>
      </c>
      <c r="F94" s="43" t="s">
        <v>8</v>
      </c>
      <c r="G94" s="43" t="s">
        <v>405</v>
      </c>
    </row>
    <row r="95" spans="1:7" x14ac:dyDescent="0.25">
      <c r="A95" s="1">
        <v>42</v>
      </c>
      <c r="B95" s="43" t="s">
        <v>406</v>
      </c>
      <c r="C95" s="44">
        <v>46031</v>
      </c>
      <c r="D95" s="43" t="s">
        <v>6</v>
      </c>
      <c r="E95" s="46">
        <v>150125</v>
      </c>
      <c r="F95" s="43" t="s">
        <v>8</v>
      </c>
      <c r="G95" s="43" t="s">
        <v>407</v>
      </c>
    </row>
    <row r="96" spans="1:7" x14ac:dyDescent="0.25">
      <c r="A96" s="1">
        <v>43</v>
      </c>
      <c r="B96" s="43" t="s">
        <v>408</v>
      </c>
      <c r="C96" s="44">
        <v>46032</v>
      </c>
      <c r="D96" s="43" t="s">
        <v>6</v>
      </c>
      <c r="E96" s="46">
        <v>17780</v>
      </c>
      <c r="F96" s="43" t="s">
        <v>8</v>
      </c>
      <c r="G96" s="43" t="s">
        <v>409</v>
      </c>
    </row>
    <row r="97" spans="1:7" x14ac:dyDescent="0.25">
      <c r="A97" s="1">
        <v>44</v>
      </c>
      <c r="B97" s="43" t="s">
        <v>185</v>
      </c>
      <c r="C97" s="44">
        <v>46027</v>
      </c>
      <c r="D97" s="43" t="s">
        <v>72</v>
      </c>
      <c r="E97" s="46">
        <v>662950</v>
      </c>
      <c r="F97" s="43" t="s">
        <v>8</v>
      </c>
      <c r="G97" s="43" t="s">
        <v>186</v>
      </c>
    </row>
    <row r="98" spans="1:7" x14ac:dyDescent="0.25">
      <c r="A98" s="1">
        <v>45</v>
      </c>
      <c r="B98" s="43" t="s">
        <v>187</v>
      </c>
      <c r="C98" s="44">
        <v>46027</v>
      </c>
      <c r="D98" s="43" t="s">
        <v>72</v>
      </c>
      <c r="E98" s="46">
        <v>28094</v>
      </c>
      <c r="F98" s="43" t="s">
        <v>8</v>
      </c>
      <c r="G98" s="43" t="s">
        <v>188</v>
      </c>
    </row>
    <row r="99" spans="1:7" x14ac:dyDescent="0.25">
      <c r="A99" s="1">
        <v>46</v>
      </c>
      <c r="B99" s="43" t="s">
        <v>189</v>
      </c>
      <c r="C99" s="44">
        <v>46027</v>
      </c>
      <c r="D99" s="43" t="s">
        <v>72</v>
      </c>
      <c r="E99" s="46">
        <v>122545</v>
      </c>
      <c r="F99" s="43" t="s">
        <v>8</v>
      </c>
      <c r="G99" s="43" t="s">
        <v>190</v>
      </c>
    </row>
    <row r="100" spans="1:7" x14ac:dyDescent="0.25">
      <c r="A100" s="1">
        <v>47</v>
      </c>
      <c r="B100" s="43" t="s">
        <v>191</v>
      </c>
      <c r="C100" s="44">
        <v>46027</v>
      </c>
      <c r="D100" s="43" t="s">
        <v>72</v>
      </c>
      <c r="E100" s="46">
        <v>571875</v>
      </c>
      <c r="F100" s="43" t="s">
        <v>8</v>
      </c>
      <c r="G100" s="43" t="s">
        <v>192</v>
      </c>
    </row>
    <row r="101" spans="1:7" x14ac:dyDescent="0.25">
      <c r="A101" s="1">
        <v>48</v>
      </c>
      <c r="B101" s="43" t="s">
        <v>193</v>
      </c>
      <c r="C101" s="44">
        <v>46028</v>
      </c>
      <c r="D101" s="43" t="s">
        <v>72</v>
      </c>
      <c r="E101" s="46">
        <v>13422</v>
      </c>
      <c r="F101" s="43" t="s">
        <v>8</v>
      </c>
      <c r="G101" s="43" t="s">
        <v>194</v>
      </c>
    </row>
    <row r="102" spans="1:7" x14ac:dyDescent="0.25">
      <c r="A102" s="1">
        <v>49</v>
      </c>
      <c r="B102" s="43" t="s">
        <v>195</v>
      </c>
      <c r="C102" s="44">
        <v>46028</v>
      </c>
      <c r="D102" s="43" t="s">
        <v>72</v>
      </c>
      <c r="E102" s="46">
        <v>1037150</v>
      </c>
      <c r="F102" s="43" t="s">
        <v>8</v>
      </c>
      <c r="G102" s="43" t="s">
        <v>196</v>
      </c>
    </row>
    <row r="103" spans="1:7" x14ac:dyDescent="0.25">
      <c r="A103" s="1">
        <v>50</v>
      </c>
      <c r="B103" s="43" t="s">
        <v>197</v>
      </c>
      <c r="C103" s="44">
        <v>46028</v>
      </c>
      <c r="D103" s="43" t="s">
        <v>72</v>
      </c>
      <c r="E103" s="46">
        <v>77070</v>
      </c>
      <c r="F103" s="43" t="s">
        <v>8</v>
      </c>
      <c r="G103" s="43" t="s">
        <v>198</v>
      </c>
    </row>
    <row r="104" spans="1:7" x14ac:dyDescent="0.25">
      <c r="A104" s="1">
        <v>51</v>
      </c>
      <c r="B104" s="43" t="s">
        <v>199</v>
      </c>
      <c r="C104" s="44">
        <v>46029</v>
      </c>
      <c r="D104" s="43" t="s">
        <v>72</v>
      </c>
      <c r="E104" s="46">
        <v>28094</v>
      </c>
      <c r="F104" s="43" t="s">
        <v>8</v>
      </c>
      <c r="G104" s="43" t="s">
        <v>200</v>
      </c>
    </row>
    <row r="105" spans="1:7" x14ac:dyDescent="0.25">
      <c r="A105" s="1">
        <v>52</v>
      </c>
      <c r="B105" s="43" t="s">
        <v>410</v>
      </c>
      <c r="C105" s="44">
        <v>46029</v>
      </c>
      <c r="D105" s="43" t="s">
        <v>72</v>
      </c>
      <c r="E105" s="46">
        <v>42750</v>
      </c>
      <c r="F105" s="43" t="s">
        <v>8</v>
      </c>
      <c r="G105" s="43" t="s">
        <v>411</v>
      </c>
    </row>
    <row r="106" spans="1:7" x14ac:dyDescent="0.25">
      <c r="A106" s="1">
        <v>53</v>
      </c>
      <c r="B106" s="43" t="s">
        <v>412</v>
      </c>
      <c r="C106" s="44">
        <v>46030</v>
      </c>
      <c r="D106" s="43" t="s">
        <v>72</v>
      </c>
      <c r="E106" s="46">
        <v>3232750</v>
      </c>
      <c r="F106" s="43" t="s">
        <v>8</v>
      </c>
      <c r="G106" s="43" t="s">
        <v>413</v>
      </c>
    </row>
    <row r="107" spans="1:7" x14ac:dyDescent="0.25">
      <c r="A107" s="1">
        <v>54</v>
      </c>
      <c r="B107" s="43" t="s">
        <v>414</v>
      </c>
      <c r="C107" s="44">
        <v>46030</v>
      </c>
      <c r="D107" s="43" t="s">
        <v>72</v>
      </c>
      <c r="E107" s="46">
        <v>146650</v>
      </c>
      <c r="F107" s="43" t="s">
        <v>8</v>
      </c>
      <c r="G107" s="43" t="s">
        <v>415</v>
      </c>
    </row>
    <row r="108" spans="1:7" x14ac:dyDescent="0.25">
      <c r="A108" s="1">
        <v>55</v>
      </c>
      <c r="B108" s="43" t="s">
        <v>416</v>
      </c>
      <c r="C108" s="44">
        <v>46030</v>
      </c>
      <c r="D108" s="43" t="s">
        <v>72</v>
      </c>
      <c r="E108" s="46">
        <v>77070</v>
      </c>
      <c r="F108" s="43" t="s">
        <v>8</v>
      </c>
      <c r="G108" s="43" t="s">
        <v>417</v>
      </c>
    </row>
    <row r="109" spans="1:7" x14ac:dyDescent="0.25">
      <c r="A109" s="1">
        <v>56</v>
      </c>
      <c r="B109" s="43" t="s">
        <v>418</v>
      </c>
      <c r="C109" s="44">
        <v>46031</v>
      </c>
      <c r="D109" s="43" t="s">
        <v>72</v>
      </c>
      <c r="E109" s="46">
        <v>1100631</v>
      </c>
      <c r="F109" s="43" t="s">
        <v>8</v>
      </c>
      <c r="G109" s="43" t="s">
        <v>419</v>
      </c>
    </row>
    <row r="110" spans="1:7" x14ac:dyDescent="0.25">
      <c r="A110" s="1">
        <v>57</v>
      </c>
      <c r="B110" s="43" t="s">
        <v>420</v>
      </c>
      <c r="C110" s="44">
        <v>46032</v>
      </c>
      <c r="D110" s="43" t="s">
        <v>72</v>
      </c>
      <c r="E110" s="46">
        <v>85865</v>
      </c>
      <c r="F110" s="43" t="s">
        <v>8</v>
      </c>
      <c r="G110" s="43" t="s">
        <v>421</v>
      </c>
    </row>
    <row r="111" spans="1:7" x14ac:dyDescent="0.25">
      <c r="C111" s="51" t="s">
        <v>204</v>
      </c>
      <c r="D111" s="51"/>
      <c r="E111" s="47">
        <v>17606434</v>
      </c>
      <c r="G111" s="25">
        <f>E111*15%+G48</f>
        <v>3290917.25</v>
      </c>
    </row>
    <row r="112" spans="1:7" x14ac:dyDescent="0.25">
      <c r="C112" s="58">
        <v>46034</v>
      </c>
      <c r="D112" s="59"/>
      <c r="E112" s="54" t="s">
        <v>347</v>
      </c>
      <c r="F112" s="54"/>
      <c r="G112" s="27">
        <v>565000</v>
      </c>
    </row>
    <row r="113" spans="1:9" x14ac:dyDescent="0.25">
      <c r="G113" s="48">
        <f>G111-G112</f>
        <v>2725917.25</v>
      </c>
      <c r="H113" s="60" t="s">
        <v>477</v>
      </c>
      <c r="I113" s="60"/>
    </row>
    <row r="114" spans="1:9" x14ac:dyDescent="0.25">
      <c r="G114" s="25">
        <v>649952</v>
      </c>
    </row>
    <row r="115" spans="1:9" x14ac:dyDescent="0.25">
      <c r="G115" s="48">
        <f>G113+G114</f>
        <v>3375869.25</v>
      </c>
    </row>
    <row r="117" spans="1:9" x14ac:dyDescent="0.25">
      <c r="A117" s="52" t="s">
        <v>348</v>
      </c>
      <c r="B117" s="61"/>
      <c r="C117" s="61"/>
      <c r="D117" s="61"/>
      <c r="E117" s="61"/>
      <c r="F117" s="61"/>
      <c r="G117" s="61"/>
    </row>
    <row r="118" spans="1:9" x14ac:dyDescent="0.25">
      <c r="A118" s="61"/>
      <c r="B118" s="61"/>
      <c r="C118" s="61"/>
      <c r="D118" s="61"/>
      <c r="E118" s="61"/>
      <c r="F118" s="61"/>
      <c r="G118" s="61"/>
    </row>
    <row r="119" spans="1:9" ht="15.75" x14ac:dyDescent="0.25">
      <c r="A119" s="53" t="s">
        <v>479</v>
      </c>
      <c r="B119" s="53"/>
      <c r="C119" s="53"/>
      <c r="D119" s="53"/>
      <c r="E119" s="53"/>
      <c r="F119" s="53"/>
      <c r="G119" s="53"/>
    </row>
    <row r="120" spans="1:9" ht="30" x14ac:dyDescent="0.25">
      <c r="A120" s="12" t="s">
        <v>202</v>
      </c>
      <c r="B120" s="10" t="s">
        <v>203</v>
      </c>
      <c r="C120" s="10" t="s">
        <v>1</v>
      </c>
      <c r="D120" s="10" t="s">
        <v>2</v>
      </c>
      <c r="E120" s="10" t="s">
        <v>3</v>
      </c>
      <c r="F120" s="10" t="s">
        <v>4</v>
      </c>
      <c r="G120" s="11" t="s">
        <v>5</v>
      </c>
    </row>
    <row r="121" spans="1:9" x14ac:dyDescent="0.25">
      <c r="A121" s="1">
        <v>1</v>
      </c>
      <c r="B121" s="2" t="s">
        <v>423</v>
      </c>
      <c r="C121" s="3">
        <v>46035</v>
      </c>
      <c r="D121" s="2" t="s">
        <v>6</v>
      </c>
      <c r="E121" s="49">
        <v>20375</v>
      </c>
      <c r="F121" s="2" t="s">
        <v>8</v>
      </c>
      <c r="G121" s="2" t="s">
        <v>424</v>
      </c>
    </row>
    <row r="122" spans="1:9" x14ac:dyDescent="0.25">
      <c r="A122" s="1">
        <v>2</v>
      </c>
      <c r="B122" s="2" t="s">
        <v>425</v>
      </c>
      <c r="C122" s="3">
        <v>46035</v>
      </c>
      <c r="D122" s="2" t="s">
        <v>6</v>
      </c>
      <c r="E122" s="49">
        <v>915650</v>
      </c>
      <c r="F122" s="2" t="s">
        <v>8</v>
      </c>
      <c r="G122" s="2" t="s">
        <v>426</v>
      </c>
    </row>
    <row r="123" spans="1:9" x14ac:dyDescent="0.25">
      <c r="A123" s="1">
        <v>3</v>
      </c>
      <c r="B123" s="2" t="s">
        <v>427</v>
      </c>
      <c r="C123" s="3">
        <v>46035</v>
      </c>
      <c r="D123" s="2" t="s">
        <v>6</v>
      </c>
      <c r="E123" s="49">
        <v>12590</v>
      </c>
      <c r="F123" s="2" t="s">
        <v>8</v>
      </c>
      <c r="G123" s="2" t="s">
        <v>428</v>
      </c>
    </row>
    <row r="124" spans="1:9" x14ac:dyDescent="0.25">
      <c r="A124" s="1">
        <v>4</v>
      </c>
      <c r="B124" s="2" t="s">
        <v>429</v>
      </c>
      <c r="C124" s="3">
        <v>46035</v>
      </c>
      <c r="D124" s="2" t="s">
        <v>6</v>
      </c>
      <c r="E124" s="49">
        <v>234895</v>
      </c>
      <c r="F124" s="2" t="s">
        <v>8</v>
      </c>
      <c r="G124" s="2" t="s">
        <v>430</v>
      </c>
    </row>
    <row r="125" spans="1:9" x14ac:dyDescent="0.25">
      <c r="A125" s="1">
        <v>5</v>
      </c>
      <c r="B125" s="2" t="s">
        <v>431</v>
      </c>
      <c r="C125" s="3">
        <v>46035</v>
      </c>
      <c r="D125" s="2" t="s">
        <v>6</v>
      </c>
      <c r="E125" s="49">
        <v>137150</v>
      </c>
      <c r="F125" s="2" t="s">
        <v>8</v>
      </c>
      <c r="G125" s="2" t="s">
        <v>432</v>
      </c>
    </row>
    <row r="126" spans="1:9" x14ac:dyDescent="0.25">
      <c r="A126" s="1">
        <v>6</v>
      </c>
      <c r="B126" s="2" t="s">
        <v>433</v>
      </c>
      <c r="C126" s="3">
        <v>46036</v>
      </c>
      <c r="D126" s="2" t="s">
        <v>6</v>
      </c>
      <c r="E126" s="49">
        <v>630200</v>
      </c>
      <c r="F126" s="2" t="s">
        <v>8</v>
      </c>
      <c r="G126" s="2" t="s">
        <v>434</v>
      </c>
    </row>
    <row r="127" spans="1:9" x14ac:dyDescent="0.25">
      <c r="A127" s="1">
        <v>7</v>
      </c>
      <c r="B127" s="2" t="s">
        <v>435</v>
      </c>
      <c r="C127" s="3">
        <v>46036</v>
      </c>
      <c r="D127" s="2" t="s">
        <v>6</v>
      </c>
      <c r="E127" s="49">
        <v>20375</v>
      </c>
      <c r="F127" s="2" t="s">
        <v>8</v>
      </c>
      <c r="G127" s="2" t="s">
        <v>436</v>
      </c>
    </row>
    <row r="128" spans="1:9" x14ac:dyDescent="0.25">
      <c r="A128" s="1">
        <v>8</v>
      </c>
      <c r="B128" s="2" t="s">
        <v>437</v>
      </c>
      <c r="C128" s="3">
        <v>46036</v>
      </c>
      <c r="D128" s="2" t="s">
        <v>6</v>
      </c>
      <c r="E128" s="49">
        <v>24700</v>
      </c>
      <c r="F128" s="2" t="s">
        <v>8</v>
      </c>
      <c r="G128" s="2" t="s">
        <v>438</v>
      </c>
    </row>
    <row r="129" spans="1:7" x14ac:dyDescent="0.25">
      <c r="A129" s="1">
        <v>9</v>
      </c>
      <c r="B129" s="2" t="s">
        <v>439</v>
      </c>
      <c r="C129" s="3">
        <v>46036</v>
      </c>
      <c r="D129" s="2" t="s">
        <v>6</v>
      </c>
      <c r="E129" s="49">
        <v>42000</v>
      </c>
      <c r="F129" s="2" t="s">
        <v>8</v>
      </c>
      <c r="G129" s="2" t="s">
        <v>440</v>
      </c>
    </row>
    <row r="130" spans="1:7" x14ac:dyDescent="0.25">
      <c r="A130" s="1">
        <v>10</v>
      </c>
      <c r="B130" s="2" t="s">
        <v>441</v>
      </c>
      <c r="C130" s="3">
        <v>46036</v>
      </c>
      <c r="D130" s="2" t="s">
        <v>6</v>
      </c>
      <c r="E130" s="49">
        <v>63625</v>
      </c>
      <c r="F130" s="2" t="s">
        <v>8</v>
      </c>
      <c r="G130" s="2" t="s">
        <v>442</v>
      </c>
    </row>
    <row r="131" spans="1:7" x14ac:dyDescent="0.25">
      <c r="A131" s="1">
        <v>11</v>
      </c>
      <c r="B131" s="2" t="s">
        <v>443</v>
      </c>
      <c r="C131" s="3">
        <v>46036</v>
      </c>
      <c r="D131" s="2" t="s">
        <v>6</v>
      </c>
      <c r="E131" s="49">
        <v>40270</v>
      </c>
      <c r="F131" s="2" t="s">
        <v>8</v>
      </c>
      <c r="G131" s="2" t="s">
        <v>444</v>
      </c>
    </row>
    <row r="132" spans="1:7" x14ac:dyDescent="0.25">
      <c r="A132" s="1">
        <v>12</v>
      </c>
      <c r="B132" s="2" t="s">
        <v>445</v>
      </c>
      <c r="C132" s="3">
        <v>46036</v>
      </c>
      <c r="D132" s="2" t="s">
        <v>6</v>
      </c>
      <c r="E132" s="49">
        <v>12590</v>
      </c>
      <c r="F132" s="2" t="s">
        <v>8</v>
      </c>
      <c r="G132" s="2" t="s">
        <v>446</v>
      </c>
    </row>
    <row r="133" spans="1:7" x14ac:dyDescent="0.25">
      <c r="A133" s="1">
        <v>13</v>
      </c>
      <c r="B133" s="2" t="s">
        <v>447</v>
      </c>
      <c r="C133" s="3">
        <v>46036</v>
      </c>
      <c r="D133" s="2" t="s">
        <v>6</v>
      </c>
      <c r="E133" s="49">
        <v>84385</v>
      </c>
      <c r="F133" s="2" t="s">
        <v>8</v>
      </c>
      <c r="G133" s="2" t="s">
        <v>448</v>
      </c>
    </row>
    <row r="134" spans="1:7" x14ac:dyDescent="0.25">
      <c r="A134" s="1">
        <v>14</v>
      </c>
      <c r="B134" s="2" t="s">
        <v>449</v>
      </c>
      <c r="C134" s="3">
        <v>46036</v>
      </c>
      <c r="D134" s="2" t="s">
        <v>6</v>
      </c>
      <c r="E134" s="49">
        <v>50650</v>
      </c>
      <c r="F134" s="2" t="s">
        <v>8</v>
      </c>
      <c r="G134" s="2" t="s">
        <v>450</v>
      </c>
    </row>
    <row r="135" spans="1:7" x14ac:dyDescent="0.25">
      <c r="A135" s="1">
        <v>15</v>
      </c>
      <c r="B135" s="2" t="s">
        <v>451</v>
      </c>
      <c r="C135" s="3">
        <v>46036</v>
      </c>
      <c r="D135" s="2" t="s">
        <v>6</v>
      </c>
      <c r="E135" s="49">
        <v>215000</v>
      </c>
      <c r="F135" s="2" t="s">
        <v>8</v>
      </c>
      <c r="G135" s="2" t="s">
        <v>452</v>
      </c>
    </row>
    <row r="136" spans="1:7" x14ac:dyDescent="0.25">
      <c r="A136" s="1">
        <v>16</v>
      </c>
      <c r="B136" s="2" t="s">
        <v>453</v>
      </c>
      <c r="C136" s="3">
        <v>46037</v>
      </c>
      <c r="D136" s="2" t="s">
        <v>6</v>
      </c>
      <c r="E136" s="49">
        <v>20375</v>
      </c>
      <c r="F136" s="2" t="s">
        <v>8</v>
      </c>
      <c r="G136" s="2" t="s">
        <v>454</v>
      </c>
    </row>
    <row r="137" spans="1:7" x14ac:dyDescent="0.25">
      <c r="A137" s="1">
        <v>17</v>
      </c>
      <c r="B137" s="2" t="s">
        <v>455</v>
      </c>
      <c r="C137" s="3">
        <v>46037</v>
      </c>
      <c r="D137" s="2" t="s">
        <v>6</v>
      </c>
      <c r="E137" s="49">
        <v>234895</v>
      </c>
      <c r="F137" s="2" t="s">
        <v>8</v>
      </c>
      <c r="G137" s="2" t="s">
        <v>456</v>
      </c>
    </row>
    <row r="138" spans="1:7" x14ac:dyDescent="0.25">
      <c r="A138" s="1">
        <v>18</v>
      </c>
      <c r="B138" s="2" t="s">
        <v>457</v>
      </c>
      <c r="C138" s="3">
        <v>46037</v>
      </c>
      <c r="D138" s="2" t="s">
        <v>6</v>
      </c>
      <c r="E138" s="49">
        <v>80925</v>
      </c>
      <c r="F138" s="2" t="s">
        <v>8</v>
      </c>
      <c r="G138" s="2" t="s">
        <v>458</v>
      </c>
    </row>
    <row r="139" spans="1:7" x14ac:dyDescent="0.25">
      <c r="A139" s="1">
        <v>19</v>
      </c>
      <c r="B139" s="2" t="s">
        <v>459</v>
      </c>
      <c r="C139" s="3">
        <v>46037</v>
      </c>
      <c r="D139" s="2" t="s">
        <v>6</v>
      </c>
      <c r="E139" s="49">
        <v>1172915</v>
      </c>
      <c r="F139" s="2" t="s">
        <v>8</v>
      </c>
      <c r="G139" s="2" t="s">
        <v>460</v>
      </c>
    </row>
    <row r="140" spans="1:7" x14ac:dyDescent="0.25">
      <c r="A140" s="1">
        <v>20</v>
      </c>
      <c r="B140" s="2" t="s">
        <v>512</v>
      </c>
      <c r="C140" s="3">
        <v>46038</v>
      </c>
      <c r="D140" s="2" t="s">
        <v>6</v>
      </c>
      <c r="E140" s="49">
        <v>20375</v>
      </c>
      <c r="F140" s="2" t="s">
        <v>8</v>
      </c>
      <c r="G140" s="2" t="s">
        <v>513</v>
      </c>
    </row>
    <row r="141" spans="1:7" x14ac:dyDescent="0.25">
      <c r="A141" s="1">
        <v>21</v>
      </c>
      <c r="B141" s="2" t="s">
        <v>514</v>
      </c>
      <c r="C141" s="3">
        <v>46038</v>
      </c>
      <c r="D141" s="2" t="s">
        <v>6</v>
      </c>
      <c r="E141" s="49">
        <v>20375</v>
      </c>
      <c r="F141" s="2" t="s">
        <v>8</v>
      </c>
      <c r="G141" s="2" t="s">
        <v>515</v>
      </c>
    </row>
    <row r="142" spans="1:7" x14ac:dyDescent="0.25">
      <c r="A142" s="1">
        <v>22</v>
      </c>
      <c r="B142" s="2" t="s">
        <v>516</v>
      </c>
      <c r="C142" s="3">
        <v>46038</v>
      </c>
      <c r="D142" s="2" t="s">
        <v>6</v>
      </c>
      <c r="E142" s="49">
        <v>323125</v>
      </c>
      <c r="F142" s="2" t="s">
        <v>8</v>
      </c>
      <c r="G142" s="2" t="s">
        <v>517</v>
      </c>
    </row>
    <row r="143" spans="1:7" x14ac:dyDescent="0.25">
      <c r="A143" s="1">
        <v>23</v>
      </c>
      <c r="B143" s="2" t="s">
        <v>518</v>
      </c>
      <c r="C143" s="3">
        <v>46038</v>
      </c>
      <c r="D143" s="2" t="s">
        <v>6</v>
      </c>
      <c r="E143" s="49">
        <v>261450</v>
      </c>
      <c r="F143" s="2" t="s">
        <v>8</v>
      </c>
      <c r="G143" s="2" t="s">
        <v>519</v>
      </c>
    </row>
    <row r="144" spans="1:7" x14ac:dyDescent="0.25">
      <c r="A144" s="1">
        <v>24</v>
      </c>
      <c r="B144" s="2" t="s">
        <v>480</v>
      </c>
      <c r="C144" s="3">
        <v>46038</v>
      </c>
      <c r="D144" s="2" t="s">
        <v>6</v>
      </c>
      <c r="E144" s="49">
        <v>598195</v>
      </c>
      <c r="F144" s="2" t="s">
        <v>8</v>
      </c>
      <c r="G144" s="2" t="s">
        <v>481</v>
      </c>
    </row>
    <row r="145" spans="1:7" x14ac:dyDescent="0.25">
      <c r="A145" s="1">
        <v>25</v>
      </c>
      <c r="B145" s="2" t="s">
        <v>482</v>
      </c>
      <c r="C145" s="3">
        <v>46039</v>
      </c>
      <c r="D145" s="2" t="s">
        <v>6</v>
      </c>
      <c r="E145" s="49">
        <v>42000</v>
      </c>
      <c r="F145" s="2" t="s">
        <v>8</v>
      </c>
      <c r="G145" s="2" t="s">
        <v>483</v>
      </c>
    </row>
    <row r="146" spans="1:7" x14ac:dyDescent="0.25">
      <c r="A146" s="1">
        <v>26</v>
      </c>
      <c r="B146" s="2" t="s">
        <v>484</v>
      </c>
      <c r="C146" s="3">
        <v>46039</v>
      </c>
      <c r="D146" s="2" t="s">
        <v>6</v>
      </c>
      <c r="E146" s="49">
        <v>20375</v>
      </c>
      <c r="F146" s="2" t="s">
        <v>8</v>
      </c>
      <c r="G146" s="2" t="s">
        <v>485</v>
      </c>
    </row>
    <row r="147" spans="1:7" x14ac:dyDescent="0.25">
      <c r="A147" s="1">
        <v>27</v>
      </c>
      <c r="B147" s="2" t="s">
        <v>486</v>
      </c>
      <c r="C147" s="3">
        <v>46039</v>
      </c>
      <c r="D147" s="2" t="s">
        <v>6</v>
      </c>
      <c r="E147" s="49">
        <v>20375</v>
      </c>
      <c r="F147" s="2" t="s">
        <v>8</v>
      </c>
      <c r="G147" s="2" t="s">
        <v>487</v>
      </c>
    </row>
    <row r="148" spans="1:7" x14ac:dyDescent="0.25">
      <c r="A148" s="1">
        <v>28</v>
      </c>
      <c r="B148" s="2" t="s">
        <v>488</v>
      </c>
      <c r="C148" s="3">
        <v>46039</v>
      </c>
      <c r="D148" s="2" t="s">
        <v>6</v>
      </c>
      <c r="E148" s="49">
        <v>50650</v>
      </c>
      <c r="F148" s="2" t="s">
        <v>8</v>
      </c>
      <c r="G148" s="2" t="s">
        <v>489</v>
      </c>
    </row>
    <row r="149" spans="1:7" x14ac:dyDescent="0.25">
      <c r="A149" s="1">
        <v>29</v>
      </c>
      <c r="B149" s="2" t="s">
        <v>490</v>
      </c>
      <c r="C149" s="3">
        <v>46039</v>
      </c>
      <c r="D149" s="2" t="s">
        <v>6</v>
      </c>
      <c r="E149" s="49">
        <v>2768204</v>
      </c>
      <c r="F149" s="2" t="s">
        <v>8</v>
      </c>
      <c r="G149" s="2" t="s">
        <v>491</v>
      </c>
    </row>
    <row r="150" spans="1:7" x14ac:dyDescent="0.25">
      <c r="A150" s="1">
        <v>30</v>
      </c>
      <c r="B150" s="2" t="s">
        <v>492</v>
      </c>
      <c r="C150" s="3">
        <v>46039</v>
      </c>
      <c r="D150" s="2" t="s">
        <v>6</v>
      </c>
      <c r="E150" s="49">
        <v>206350</v>
      </c>
      <c r="F150" s="2" t="s">
        <v>8</v>
      </c>
      <c r="G150" s="2" t="s">
        <v>493</v>
      </c>
    </row>
    <row r="151" spans="1:7" x14ac:dyDescent="0.25">
      <c r="A151" s="1">
        <v>31</v>
      </c>
      <c r="B151" s="2" t="s">
        <v>494</v>
      </c>
      <c r="C151" s="3">
        <v>46039</v>
      </c>
      <c r="D151" s="2" t="s">
        <v>6</v>
      </c>
      <c r="E151" s="49">
        <v>137150</v>
      </c>
      <c r="F151" s="2" t="s">
        <v>8</v>
      </c>
      <c r="G151" s="2" t="s">
        <v>495</v>
      </c>
    </row>
    <row r="152" spans="1:7" x14ac:dyDescent="0.25">
      <c r="A152" s="1">
        <v>32</v>
      </c>
      <c r="B152" s="2" t="s">
        <v>496</v>
      </c>
      <c r="C152" s="3">
        <v>46039</v>
      </c>
      <c r="D152" s="2" t="s">
        <v>6</v>
      </c>
      <c r="E152" s="49">
        <v>12590</v>
      </c>
      <c r="F152" s="2" t="s">
        <v>8</v>
      </c>
      <c r="G152" s="2" t="s">
        <v>497</v>
      </c>
    </row>
    <row r="153" spans="1:7" x14ac:dyDescent="0.25">
      <c r="A153" s="1">
        <v>33</v>
      </c>
      <c r="B153" s="2" t="s">
        <v>498</v>
      </c>
      <c r="C153" s="3">
        <v>46039</v>
      </c>
      <c r="D153" s="2" t="s">
        <v>6</v>
      </c>
      <c r="E153" s="49">
        <v>26430</v>
      </c>
      <c r="F153" s="2" t="s">
        <v>8</v>
      </c>
      <c r="G153" s="2" t="s">
        <v>499</v>
      </c>
    </row>
    <row r="154" spans="1:7" x14ac:dyDescent="0.25">
      <c r="A154" s="1">
        <v>34</v>
      </c>
      <c r="B154" s="2" t="s">
        <v>500</v>
      </c>
      <c r="C154" s="3">
        <v>46039</v>
      </c>
      <c r="D154" s="2" t="s">
        <v>6</v>
      </c>
      <c r="E154" s="49">
        <v>164325</v>
      </c>
      <c r="F154" s="2" t="s">
        <v>8</v>
      </c>
      <c r="G154" s="2" t="s">
        <v>501</v>
      </c>
    </row>
    <row r="155" spans="1:7" x14ac:dyDescent="0.25">
      <c r="A155" s="1">
        <v>35</v>
      </c>
      <c r="B155" s="2" t="s">
        <v>502</v>
      </c>
      <c r="C155" s="3">
        <v>46041</v>
      </c>
      <c r="D155" s="2" t="s">
        <v>6</v>
      </c>
      <c r="E155" s="49">
        <v>284200</v>
      </c>
      <c r="F155" s="2" t="s">
        <v>8</v>
      </c>
      <c r="G155" s="2" t="s">
        <v>503</v>
      </c>
    </row>
    <row r="156" spans="1:7" x14ac:dyDescent="0.25">
      <c r="A156" s="1">
        <v>36</v>
      </c>
      <c r="B156" s="6" t="s">
        <v>461</v>
      </c>
      <c r="C156" s="7">
        <v>46035</v>
      </c>
      <c r="D156" s="6" t="s">
        <v>72</v>
      </c>
      <c r="E156" s="8">
        <v>13422</v>
      </c>
      <c r="F156" s="6" t="s">
        <v>8</v>
      </c>
      <c r="G156" s="6" t="s">
        <v>462</v>
      </c>
    </row>
    <row r="157" spans="1:7" x14ac:dyDescent="0.25">
      <c r="A157" s="1">
        <v>37</v>
      </c>
      <c r="B157" s="6" t="s">
        <v>463</v>
      </c>
      <c r="C157" s="7">
        <v>46035</v>
      </c>
      <c r="D157" s="6" t="s">
        <v>72</v>
      </c>
      <c r="E157" s="8">
        <v>21675</v>
      </c>
      <c r="F157" s="6" t="s">
        <v>8</v>
      </c>
      <c r="G157" s="6" t="s">
        <v>464</v>
      </c>
    </row>
    <row r="158" spans="1:7" x14ac:dyDescent="0.25">
      <c r="A158" s="1">
        <v>38</v>
      </c>
      <c r="B158" s="6" t="s">
        <v>465</v>
      </c>
      <c r="C158" s="7">
        <v>46035</v>
      </c>
      <c r="D158" s="6" t="s">
        <v>72</v>
      </c>
      <c r="E158" s="8">
        <v>89000</v>
      </c>
      <c r="F158" s="6" t="s">
        <v>8</v>
      </c>
      <c r="G158" s="6" t="s">
        <v>466</v>
      </c>
    </row>
    <row r="159" spans="1:7" x14ac:dyDescent="0.25">
      <c r="A159" s="1">
        <v>39</v>
      </c>
      <c r="B159" s="6" t="s">
        <v>467</v>
      </c>
      <c r="C159" s="7">
        <v>46035</v>
      </c>
      <c r="D159" s="6" t="s">
        <v>72</v>
      </c>
      <c r="E159" s="8">
        <v>233650</v>
      </c>
      <c r="F159" s="6" t="s">
        <v>8</v>
      </c>
      <c r="G159" s="6" t="s">
        <v>468</v>
      </c>
    </row>
    <row r="160" spans="1:7" x14ac:dyDescent="0.25">
      <c r="A160" s="1">
        <v>40</v>
      </c>
      <c r="B160" s="6" t="s">
        <v>469</v>
      </c>
      <c r="C160" s="7">
        <v>46036</v>
      </c>
      <c r="D160" s="6" t="s">
        <v>72</v>
      </c>
      <c r="E160" s="8">
        <v>148350</v>
      </c>
      <c r="F160" s="6" t="s">
        <v>8</v>
      </c>
      <c r="G160" s="6" t="s">
        <v>470</v>
      </c>
    </row>
    <row r="161" spans="1:9" x14ac:dyDescent="0.25">
      <c r="A161" s="1">
        <v>41</v>
      </c>
      <c r="B161" s="6" t="s">
        <v>471</v>
      </c>
      <c r="C161" s="7">
        <v>46036</v>
      </c>
      <c r="D161" s="6" t="s">
        <v>72</v>
      </c>
      <c r="E161" s="8">
        <v>597150</v>
      </c>
      <c r="F161" s="6" t="s">
        <v>8</v>
      </c>
      <c r="G161" s="6" t="s">
        <v>472</v>
      </c>
    </row>
    <row r="162" spans="1:9" x14ac:dyDescent="0.25">
      <c r="A162" s="1">
        <v>42</v>
      </c>
      <c r="B162" s="6" t="s">
        <v>473</v>
      </c>
      <c r="C162" s="7">
        <v>46036</v>
      </c>
      <c r="D162" s="6" t="s">
        <v>72</v>
      </c>
      <c r="E162" s="8">
        <v>2753150</v>
      </c>
      <c r="F162" s="6" t="s">
        <v>8</v>
      </c>
      <c r="G162" s="6" t="s">
        <v>474</v>
      </c>
    </row>
    <row r="163" spans="1:9" x14ac:dyDescent="0.25">
      <c r="A163" s="1">
        <v>43</v>
      </c>
      <c r="B163" s="6" t="s">
        <v>475</v>
      </c>
      <c r="C163" s="7">
        <v>46037</v>
      </c>
      <c r="D163" s="6" t="s">
        <v>72</v>
      </c>
      <c r="E163" s="8">
        <v>146650</v>
      </c>
      <c r="F163" s="6" t="s">
        <v>8</v>
      </c>
      <c r="G163" s="6" t="s">
        <v>476</v>
      </c>
    </row>
    <row r="164" spans="1:9" x14ac:dyDescent="0.25">
      <c r="A164" s="1">
        <v>44</v>
      </c>
      <c r="B164" s="6" t="s">
        <v>504</v>
      </c>
      <c r="C164" s="7">
        <v>46037</v>
      </c>
      <c r="D164" s="6" t="s">
        <v>72</v>
      </c>
      <c r="E164" s="8">
        <v>121950</v>
      </c>
      <c r="F164" s="6" t="s">
        <v>8</v>
      </c>
      <c r="G164" s="6" t="s">
        <v>505</v>
      </c>
    </row>
    <row r="165" spans="1:9" x14ac:dyDescent="0.25">
      <c r="A165" s="1">
        <v>45</v>
      </c>
      <c r="B165" s="6" t="s">
        <v>506</v>
      </c>
      <c r="C165" s="7">
        <v>46038</v>
      </c>
      <c r="D165" s="6" t="s">
        <v>72</v>
      </c>
      <c r="E165" s="8">
        <v>28094</v>
      </c>
      <c r="F165" s="6" t="s">
        <v>8</v>
      </c>
      <c r="G165" s="6" t="s">
        <v>507</v>
      </c>
    </row>
    <row r="166" spans="1:9" x14ac:dyDescent="0.25">
      <c r="A166" s="1">
        <v>46</v>
      </c>
      <c r="B166" s="6" t="s">
        <v>508</v>
      </c>
      <c r="C166" s="7">
        <v>46038</v>
      </c>
      <c r="D166" s="6" t="s">
        <v>72</v>
      </c>
      <c r="E166" s="8">
        <v>20675</v>
      </c>
      <c r="F166" s="6" t="s">
        <v>8</v>
      </c>
      <c r="G166" s="6" t="s">
        <v>509</v>
      </c>
    </row>
    <row r="167" spans="1:9" x14ac:dyDescent="0.25">
      <c r="A167" s="1">
        <v>47</v>
      </c>
      <c r="B167" s="6" t="s">
        <v>510</v>
      </c>
      <c r="C167" s="7">
        <v>46039</v>
      </c>
      <c r="D167" s="6" t="s">
        <v>72</v>
      </c>
      <c r="E167" s="8">
        <v>368350</v>
      </c>
      <c r="F167" s="6" t="s">
        <v>8</v>
      </c>
      <c r="G167" s="6" t="s">
        <v>511</v>
      </c>
    </row>
    <row r="168" spans="1:9" x14ac:dyDescent="0.25">
      <c r="C168" s="51" t="s">
        <v>204</v>
      </c>
      <c r="D168" s="51"/>
      <c r="E168" s="47">
        <v>13511850</v>
      </c>
      <c r="G168" s="25">
        <f>E168*15%</f>
        <v>2026777.5</v>
      </c>
    </row>
    <row r="169" spans="1:9" x14ac:dyDescent="0.25">
      <c r="C169" s="58">
        <v>46041</v>
      </c>
      <c r="D169" s="59"/>
      <c r="E169" s="54" t="s">
        <v>347</v>
      </c>
      <c r="F169" s="54"/>
      <c r="G169" s="27">
        <v>565000</v>
      </c>
    </row>
    <row r="170" spans="1:9" x14ac:dyDescent="0.25">
      <c r="G170" s="48">
        <f>G168-G169</f>
        <v>1461777.5</v>
      </c>
      <c r="H170" s="60" t="s">
        <v>477</v>
      </c>
      <c r="I170" s="60"/>
    </row>
    <row r="171" spans="1:9" x14ac:dyDescent="0.25">
      <c r="G171" s="27">
        <v>3375869</v>
      </c>
    </row>
    <row r="172" spans="1:9" x14ac:dyDescent="0.25">
      <c r="G172" s="48">
        <f>G170+G171</f>
        <v>4837646.5</v>
      </c>
    </row>
    <row r="174" spans="1:9" x14ac:dyDescent="0.25">
      <c r="A174" s="52" t="s">
        <v>348</v>
      </c>
      <c r="B174" s="61"/>
      <c r="C174" s="61"/>
      <c r="D174" s="61"/>
      <c r="E174" s="61"/>
      <c r="F174" s="61"/>
      <c r="G174" s="61"/>
    </row>
    <row r="175" spans="1:9" x14ac:dyDescent="0.25">
      <c r="A175" s="61"/>
      <c r="B175" s="61"/>
      <c r="C175" s="61"/>
      <c r="D175" s="61"/>
      <c r="E175" s="61"/>
      <c r="F175" s="61"/>
      <c r="G175" s="61"/>
    </row>
    <row r="176" spans="1:9" ht="15.75" x14ac:dyDescent="0.25">
      <c r="A176" s="53" t="s">
        <v>556</v>
      </c>
      <c r="B176" s="53"/>
      <c r="C176" s="53"/>
      <c r="D176" s="53"/>
      <c r="E176" s="53"/>
      <c r="F176" s="53"/>
      <c r="G176" s="53"/>
    </row>
    <row r="177" spans="1:7" ht="30" x14ac:dyDescent="0.25">
      <c r="A177" s="12" t="s">
        <v>202</v>
      </c>
      <c r="B177" s="10" t="s">
        <v>203</v>
      </c>
      <c r="C177" s="10" t="s">
        <v>1</v>
      </c>
      <c r="D177" s="10" t="s">
        <v>2</v>
      </c>
      <c r="E177" s="10" t="s">
        <v>3</v>
      </c>
      <c r="F177" s="10" t="s">
        <v>4</v>
      </c>
      <c r="G177" s="11" t="s">
        <v>5</v>
      </c>
    </row>
    <row r="178" spans="1:7" x14ac:dyDescent="0.25">
      <c r="A178" s="1">
        <v>1</v>
      </c>
      <c r="B178" s="2" t="s">
        <v>520</v>
      </c>
      <c r="C178" s="3">
        <v>46042</v>
      </c>
      <c r="D178" s="2" t="s">
        <v>6</v>
      </c>
      <c r="E178" s="49">
        <v>20375</v>
      </c>
      <c r="F178" s="2" t="s">
        <v>8</v>
      </c>
      <c r="G178" s="2" t="s">
        <v>521</v>
      </c>
    </row>
    <row r="179" spans="1:7" x14ac:dyDescent="0.25">
      <c r="A179" s="1">
        <v>2</v>
      </c>
      <c r="B179" s="2" t="s">
        <v>522</v>
      </c>
      <c r="C179" s="3">
        <v>46042</v>
      </c>
      <c r="D179" s="2" t="s">
        <v>6</v>
      </c>
      <c r="E179" s="49">
        <v>261050</v>
      </c>
      <c r="F179" s="2" t="s">
        <v>8</v>
      </c>
      <c r="G179" s="2" t="s">
        <v>523</v>
      </c>
    </row>
    <row r="180" spans="1:7" x14ac:dyDescent="0.25">
      <c r="A180" s="1">
        <v>3</v>
      </c>
      <c r="B180" s="2" t="s">
        <v>524</v>
      </c>
      <c r="C180" s="3">
        <v>46042</v>
      </c>
      <c r="D180" s="2" t="s">
        <v>6</v>
      </c>
      <c r="E180" s="49">
        <v>24700</v>
      </c>
      <c r="F180" s="2" t="s">
        <v>8</v>
      </c>
      <c r="G180" s="2" t="s">
        <v>525</v>
      </c>
    </row>
    <row r="181" spans="1:7" x14ac:dyDescent="0.25">
      <c r="A181" s="1">
        <v>4</v>
      </c>
      <c r="B181" s="2" t="s">
        <v>526</v>
      </c>
      <c r="C181" s="3">
        <v>46042</v>
      </c>
      <c r="D181" s="2" t="s">
        <v>6</v>
      </c>
      <c r="E181" s="49">
        <v>233530</v>
      </c>
      <c r="F181" s="2" t="s">
        <v>8</v>
      </c>
      <c r="G181" s="2" t="s">
        <v>527</v>
      </c>
    </row>
    <row r="182" spans="1:7" x14ac:dyDescent="0.25">
      <c r="A182" s="1">
        <v>5</v>
      </c>
      <c r="B182" s="2" t="s">
        <v>528</v>
      </c>
      <c r="C182" s="3">
        <v>46043</v>
      </c>
      <c r="D182" s="2" t="s">
        <v>6</v>
      </c>
      <c r="E182" s="49">
        <v>487230</v>
      </c>
      <c r="F182" s="2" t="s">
        <v>8</v>
      </c>
      <c r="G182" s="2" t="s">
        <v>529</v>
      </c>
    </row>
    <row r="183" spans="1:7" x14ac:dyDescent="0.25">
      <c r="A183" s="1">
        <v>6</v>
      </c>
      <c r="B183" s="2" t="s">
        <v>530</v>
      </c>
      <c r="C183" s="3">
        <v>46043</v>
      </c>
      <c r="D183" s="2" t="s">
        <v>6</v>
      </c>
      <c r="E183" s="49">
        <v>12235</v>
      </c>
      <c r="F183" s="2" t="s">
        <v>8</v>
      </c>
      <c r="G183" s="2" t="s">
        <v>531</v>
      </c>
    </row>
    <row r="184" spans="1:7" x14ac:dyDescent="0.25">
      <c r="A184" s="1">
        <v>7</v>
      </c>
      <c r="B184" s="2" t="s">
        <v>532</v>
      </c>
      <c r="C184" s="3">
        <v>46043</v>
      </c>
      <c r="D184" s="2" t="s">
        <v>6</v>
      </c>
      <c r="E184" s="49">
        <v>815750</v>
      </c>
      <c r="F184" s="2" t="s">
        <v>8</v>
      </c>
      <c r="G184" s="2" t="s">
        <v>533</v>
      </c>
    </row>
    <row r="185" spans="1:7" x14ac:dyDescent="0.25">
      <c r="A185" s="1">
        <v>8</v>
      </c>
      <c r="B185" s="2" t="s">
        <v>534</v>
      </c>
      <c r="C185" s="3">
        <v>46043</v>
      </c>
      <c r="D185" s="2" t="s">
        <v>6</v>
      </c>
      <c r="E185" s="49">
        <v>20375</v>
      </c>
      <c r="F185" s="2" t="s">
        <v>8</v>
      </c>
      <c r="G185" s="2" t="s">
        <v>535</v>
      </c>
    </row>
    <row r="186" spans="1:7" x14ac:dyDescent="0.25">
      <c r="A186" s="1">
        <v>9</v>
      </c>
      <c r="B186" s="2" t="s">
        <v>536</v>
      </c>
      <c r="C186" s="3">
        <v>46043</v>
      </c>
      <c r="D186" s="2" t="s">
        <v>6</v>
      </c>
      <c r="E186" s="49">
        <v>20375</v>
      </c>
      <c r="F186" s="2" t="s">
        <v>8</v>
      </c>
      <c r="G186" s="2" t="s">
        <v>537</v>
      </c>
    </row>
    <row r="187" spans="1:7" x14ac:dyDescent="0.25">
      <c r="A187" s="1">
        <v>10</v>
      </c>
      <c r="B187" s="2" t="s">
        <v>538</v>
      </c>
      <c r="C187" s="3">
        <v>46044</v>
      </c>
      <c r="D187" s="2" t="s">
        <v>6</v>
      </c>
      <c r="E187" s="49">
        <v>26430</v>
      </c>
      <c r="F187" s="2" t="s">
        <v>8</v>
      </c>
      <c r="G187" s="2" t="s">
        <v>539</v>
      </c>
    </row>
    <row r="188" spans="1:7" x14ac:dyDescent="0.25">
      <c r="A188" s="1">
        <v>11</v>
      </c>
      <c r="B188" s="2" t="s">
        <v>540</v>
      </c>
      <c r="C188" s="3">
        <v>46044</v>
      </c>
      <c r="D188" s="2" t="s">
        <v>6</v>
      </c>
      <c r="E188" s="49">
        <v>67950</v>
      </c>
      <c r="F188" s="2" t="s">
        <v>8</v>
      </c>
      <c r="G188" s="2" t="s">
        <v>541</v>
      </c>
    </row>
    <row r="189" spans="1:7" x14ac:dyDescent="0.25">
      <c r="A189" s="1">
        <v>12</v>
      </c>
      <c r="B189" s="2" t="s">
        <v>542</v>
      </c>
      <c r="C189" s="3">
        <v>46044</v>
      </c>
      <c r="D189" s="2" t="s">
        <v>6</v>
      </c>
      <c r="E189" s="49">
        <v>656150</v>
      </c>
      <c r="F189" s="2" t="s">
        <v>8</v>
      </c>
      <c r="G189" s="2" t="s">
        <v>543</v>
      </c>
    </row>
    <row r="190" spans="1:7" x14ac:dyDescent="0.25">
      <c r="A190" s="1">
        <v>13</v>
      </c>
      <c r="B190" s="2" t="s">
        <v>544</v>
      </c>
      <c r="C190" s="3">
        <v>46042</v>
      </c>
      <c r="D190" s="2" t="s">
        <v>72</v>
      </c>
      <c r="E190" s="49">
        <v>20825</v>
      </c>
      <c r="F190" s="2" t="s">
        <v>8</v>
      </c>
      <c r="G190" s="2" t="s">
        <v>545</v>
      </c>
    </row>
    <row r="191" spans="1:7" x14ac:dyDescent="0.25">
      <c r="A191" s="1">
        <v>14</v>
      </c>
      <c r="B191" s="2" t="s">
        <v>546</v>
      </c>
      <c r="C191" s="3">
        <v>46042</v>
      </c>
      <c r="D191" s="2" t="s">
        <v>72</v>
      </c>
      <c r="E191" s="49">
        <v>605950</v>
      </c>
      <c r="F191" s="2" t="s">
        <v>8</v>
      </c>
      <c r="G191" s="2" t="s">
        <v>547</v>
      </c>
    </row>
    <row r="192" spans="1:7" x14ac:dyDescent="0.25">
      <c r="A192" s="1">
        <v>15</v>
      </c>
      <c r="B192" s="2" t="s">
        <v>548</v>
      </c>
      <c r="C192" s="3">
        <v>46043</v>
      </c>
      <c r="D192" s="2" t="s">
        <v>72</v>
      </c>
      <c r="E192" s="49">
        <v>924750</v>
      </c>
      <c r="F192" s="2" t="s">
        <v>8</v>
      </c>
      <c r="G192" s="2" t="s">
        <v>549</v>
      </c>
    </row>
    <row r="193" spans="1:9" x14ac:dyDescent="0.25">
      <c r="A193" s="1">
        <v>16</v>
      </c>
      <c r="B193" s="2" t="s">
        <v>550</v>
      </c>
      <c r="C193" s="3">
        <v>46043</v>
      </c>
      <c r="D193" s="2" t="s">
        <v>72</v>
      </c>
      <c r="E193" s="49">
        <v>542650</v>
      </c>
      <c r="F193" s="2" t="s">
        <v>8</v>
      </c>
      <c r="G193" s="2" t="s">
        <v>551</v>
      </c>
    </row>
    <row r="194" spans="1:9" x14ac:dyDescent="0.25">
      <c r="A194" s="1">
        <v>17</v>
      </c>
      <c r="B194" s="2" t="s">
        <v>552</v>
      </c>
      <c r="C194" s="3">
        <v>46043</v>
      </c>
      <c r="D194" s="2" t="s">
        <v>72</v>
      </c>
      <c r="E194" s="49">
        <v>279000</v>
      </c>
      <c r="F194" s="2" t="s">
        <v>8</v>
      </c>
      <c r="G194" s="2" t="s">
        <v>553</v>
      </c>
    </row>
    <row r="195" spans="1:9" x14ac:dyDescent="0.25">
      <c r="A195" s="1">
        <v>18</v>
      </c>
      <c r="B195" s="2" t="s">
        <v>554</v>
      </c>
      <c r="C195" s="3">
        <v>46043</v>
      </c>
      <c r="D195" s="2" t="s">
        <v>72</v>
      </c>
      <c r="E195" s="49">
        <v>90450</v>
      </c>
      <c r="F195" s="2" t="s">
        <v>8</v>
      </c>
      <c r="G195" s="2" t="s">
        <v>555</v>
      </c>
    </row>
    <row r="196" spans="1:9" x14ac:dyDescent="0.25">
      <c r="C196" s="51" t="s">
        <v>204</v>
      </c>
      <c r="D196" s="51"/>
      <c r="E196" s="47">
        <v>5109775</v>
      </c>
      <c r="G196" s="25">
        <f>E196*15%</f>
        <v>766466.25</v>
      </c>
    </row>
    <row r="197" spans="1:9" x14ac:dyDescent="0.25">
      <c r="C197" s="58">
        <v>46044</v>
      </c>
      <c r="D197" s="59"/>
      <c r="E197" s="54" t="s">
        <v>347</v>
      </c>
      <c r="F197" s="54"/>
      <c r="G197" s="27">
        <v>565000</v>
      </c>
    </row>
    <row r="198" spans="1:9" x14ac:dyDescent="0.25">
      <c r="G198" s="48">
        <f>G196-G197</f>
        <v>201466.25</v>
      </c>
      <c r="H198" s="60" t="s">
        <v>477</v>
      </c>
      <c r="I198" s="60"/>
    </row>
    <row r="199" spans="1:9" x14ac:dyDescent="0.25">
      <c r="G199" s="27">
        <v>4837647</v>
      </c>
    </row>
    <row r="200" spans="1:9" x14ac:dyDescent="0.25">
      <c r="G200" s="48">
        <f>G198+G199</f>
        <v>5039113.25</v>
      </c>
    </row>
    <row r="202" spans="1:9" x14ac:dyDescent="0.25">
      <c r="A202" s="52" t="s">
        <v>348</v>
      </c>
      <c r="B202" s="61"/>
      <c r="C202" s="61"/>
      <c r="D202" s="61"/>
      <c r="E202" s="61"/>
      <c r="F202" s="61"/>
      <c r="G202" s="61"/>
    </row>
    <row r="203" spans="1:9" x14ac:dyDescent="0.25">
      <c r="A203" s="61"/>
      <c r="B203" s="61"/>
      <c r="C203" s="61"/>
      <c r="D203" s="61"/>
      <c r="E203" s="61"/>
      <c r="F203" s="61"/>
      <c r="G203" s="61"/>
    </row>
    <row r="204" spans="1:9" ht="15.75" x14ac:dyDescent="0.25">
      <c r="A204" s="53" t="s">
        <v>611</v>
      </c>
      <c r="B204" s="53"/>
      <c r="C204" s="53"/>
      <c r="D204" s="53"/>
      <c r="E204" s="53"/>
      <c r="F204" s="53"/>
      <c r="G204" s="53"/>
    </row>
    <row r="205" spans="1:9" ht="30" x14ac:dyDescent="0.25">
      <c r="A205" s="12" t="s">
        <v>202</v>
      </c>
      <c r="B205" s="10" t="s">
        <v>203</v>
      </c>
      <c r="C205" s="10" t="s">
        <v>1</v>
      </c>
      <c r="D205" s="10" t="s">
        <v>2</v>
      </c>
      <c r="E205" s="10" t="s">
        <v>3</v>
      </c>
      <c r="F205" s="10" t="s">
        <v>4</v>
      </c>
      <c r="G205" s="11" t="s">
        <v>5</v>
      </c>
    </row>
    <row r="206" spans="1:9" x14ac:dyDescent="0.25">
      <c r="A206" s="1">
        <v>1</v>
      </c>
      <c r="B206" s="2" t="s">
        <v>557</v>
      </c>
      <c r="C206" s="3">
        <v>46045</v>
      </c>
      <c r="D206" s="2" t="s">
        <v>6</v>
      </c>
      <c r="E206" s="49">
        <v>134725</v>
      </c>
      <c r="F206" s="2" t="s">
        <v>8</v>
      </c>
      <c r="G206" s="2" t="s">
        <v>558</v>
      </c>
    </row>
    <row r="207" spans="1:9" x14ac:dyDescent="0.25">
      <c r="A207" s="1">
        <v>2</v>
      </c>
      <c r="B207" s="2" t="s">
        <v>559</v>
      </c>
      <c r="C207" s="3">
        <v>46045</v>
      </c>
      <c r="D207" s="2" t="s">
        <v>6</v>
      </c>
      <c r="E207" s="49">
        <v>40270</v>
      </c>
      <c r="F207" s="2" t="s">
        <v>8</v>
      </c>
      <c r="G207" s="2" t="s">
        <v>560</v>
      </c>
    </row>
    <row r="208" spans="1:9" x14ac:dyDescent="0.25">
      <c r="A208" s="1">
        <v>3</v>
      </c>
      <c r="B208" s="2" t="s">
        <v>561</v>
      </c>
      <c r="C208" s="3">
        <v>46045</v>
      </c>
      <c r="D208" s="2" t="s">
        <v>6</v>
      </c>
      <c r="E208" s="49">
        <v>275550</v>
      </c>
      <c r="F208" s="2" t="s">
        <v>8</v>
      </c>
      <c r="G208" s="2" t="s">
        <v>562</v>
      </c>
    </row>
    <row r="209" spans="1:7" x14ac:dyDescent="0.25">
      <c r="A209" s="1">
        <v>4</v>
      </c>
      <c r="B209" s="2" t="s">
        <v>563</v>
      </c>
      <c r="C209" s="3">
        <v>46045</v>
      </c>
      <c r="D209" s="2" t="s">
        <v>6</v>
      </c>
      <c r="E209" s="49">
        <v>234895</v>
      </c>
      <c r="F209" s="2" t="s">
        <v>8</v>
      </c>
      <c r="G209" s="2" t="s">
        <v>564</v>
      </c>
    </row>
    <row r="210" spans="1:7" x14ac:dyDescent="0.25">
      <c r="A210" s="1">
        <v>5</v>
      </c>
      <c r="B210" s="2" t="s">
        <v>565</v>
      </c>
      <c r="C210" s="3">
        <v>46045</v>
      </c>
      <c r="D210" s="2" t="s">
        <v>6</v>
      </c>
      <c r="E210" s="49">
        <v>20375</v>
      </c>
      <c r="F210" s="2" t="s">
        <v>8</v>
      </c>
      <c r="G210" s="2" t="s">
        <v>566</v>
      </c>
    </row>
    <row r="211" spans="1:7" x14ac:dyDescent="0.25">
      <c r="A211" s="1">
        <v>6</v>
      </c>
      <c r="B211" s="2" t="s">
        <v>567</v>
      </c>
      <c r="C211" s="3">
        <v>46045</v>
      </c>
      <c r="D211" s="2" t="s">
        <v>6</v>
      </c>
      <c r="E211" s="49">
        <v>80925</v>
      </c>
      <c r="F211" s="2" t="s">
        <v>8</v>
      </c>
      <c r="G211" s="2" t="s">
        <v>568</v>
      </c>
    </row>
    <row r="212" spans="1:7" x14ac:dyDescent="0.25">
      <c r="A212" s="1">
        <v>7</v>
      </c>
      <c r="B212" s="2" t="s">
        <v>569</v>
      </c>
      <c r="C212" s="3">
        <v>46045</v>
      </c>
      <c r="D212" s="2" t="s">
        <v>6</v>
      </c>
      <c r="E212" s="49">
        <v>20375</v>
      </c>
      <c r="F212" s="2" t="s">
        <v>8</v>
      </c>
      <c r="G212" s="2" t="s">
        <v>570</v>
      </c>
    </row>
    <row r="213" spans="1:7" x14ac:dyDescent="0.25">
      <c r="A213" s="1">
        <v>8</v>
      </c>
      <c r="B213" s="2" t="s">
        <v>571</v>
      </c>
      <c r="C213" s="3">
        <v>46045</v>
      </c>
      <c r="D213" s="2" t="s">
        <v>6</v>
      </c>
      <c r="E213" s="49">
        <v>20375</v>
      </c>
      <c r="F213" s="2" t="s">
        <v>8</v>
      </c>
      <c r="G213" s="2" t="s">
        <v>572</v>
      </c>
    </row>
    <row r="214" spans="1:7" x14ac:dyDescent="0.25">
      <c r="A214" s="1">
        <v>9</v>
      </c>
      <c r="B214" s="2" t="s">
        <v>573</v>
      </c>
      <c r="C214" s="3">
        <v>46045</v>
      </c>
      <c r="D214" s="2" t="s">
        <v>6</v>
      </c>
      <c r="E214" s="49">
        <v>12590</v>
      </c>
      <c r="F214" s="2" t="s">
        <v>8</v>
      </c>
      <c r="G214" s="2" t="s">
        <v>574</v>
      </c>
    </row>
    <row r="215" spans="1:7" x14ac:dyDescent="0.25">
      <c r="A215" s="1">
        <v>10</v>
      </c>
      <c r="B215" s="2" t="s">
        <v>575</v>
      </c>
      <c r="C215" s="3">
        <v>46046</v>
      </c>
      <c r="D215" s="2" t="s">
        <v>6</v>
      </c>
      <c r="E215" s="49">
        <v>26430</v>
      </c>
      <c r="F215" s="2" t="s">
        <v>8</v>
      </c>
      <c r="G215" s="2" t="s">
        <v>576</v>
      </c>
    </row>
    <row r="216" spans="1:7" x14ac:dyDescent="0.25">
      <c r="A216" s="1">
        <v>11</v>
      </c>
      <c r="B216" s="2" t="s">
        <v>577</v>
      </c>
      <c r="C216" s="3">
        <v>46046</v>
      </c>
      <c r="D216" s="2" t="s">
        <v>6</v>
      </c>
      <c r="E216" s="49">
        <v>20375</v>
      </c>
      <c r="F216" s="2" t="s">
        <v>8</v>
      </c>
      <c r="G216" s="2" t="s">
        <v>578</v>
      </c>
    </row>
    <row r="217" spans="1:7" x14ac:dyDescent="0.25">
      <c r="A217" s="1">
        <v>12</v>
      </c>
      <c r="B217" s="2" t="s">
        <v>579</v>
      </c>
      <c r="C217" s="3">
        <v>46046</v>
      </c>
      <c r="D217" s="2" t="s">
        <v>6</v>
      </c>
      <c r="E217" s="49">
        <v>20375</v>
      </c>
      <c r="F217" s="2" t="s">
        <v>8</v>
      </c>
      <c r="G217" s="2" t="s">
        <v>580</v>
      </c>
    </row>
    <row r="218" spans="1:7" x14ac:dyDescent="0.25">
      <c r="A218" s="1">
        <v>13</v>
      </c>
      <c r="B218" s="2" t="s">
        <v>581</v>
      </c>
      <c r="C218" s="3">
        <v>46046</v>
      </c>
      <c r="D218" s="2" t="s">
        <v>6</v>
      </c>
      <c r="E218" s="49">
        <v>12590</v>
      </c>
      <c r="F218" s="2" t="s">
        <v>8</v>
      </c>
      <c r="G218" s="2" t="s">
        <v>582</v>
      </c>
    </row>
    <row r="219" spans="1:7" x14ac:dyDescent="0.25">
      <c r="A219" s="1">
        <v>14</v>
      </c>
      <c r="B219" s="2" t="s">
        <v>583</v>
      </c>
      <c r="C219" s="3">
        <v>46046</v>
      </c>
      <c r="D219" s="2" t="s">
        <v>6</v>
      </c>
      <c r="E219" s="49">
        <v>42000</v>
      </c>
      <c r="F219" s="2" t="s">
        <v>8</v>
      </c>
      <c r="G219" s="2" t="s">
        <v>584</v>
      </c>
    </row>
    <row r="220" spans="1:7" x14ac:dyDescent="0.25">
      <c r="A220" s="1">
        <v>15</v>
      </c>
      <c r="B220" s="2" t="s">
        <v>585</v>
      </c>
      <c r="C220" s="3">
        <v>46046</v>
      </c>
      <c r="D220" s="2" t="s">
        <v>6</v>
      </c>
      <c r="E220" s="49">
        <v>24700</v>
      </c>
      <c r="F220" s="2" t="s">
        <v>8</v>
      </c>
      <c r="G220" s="2" t="s">
        <v>586</v>
      </c>
    </row>
    <row r="221" spans="1:7" x14ac:dyDescent="0.25">
      <c r="A221" s="1">
        <v>16</v>
      </c>
      <c r="B221" s="2" t="s">
        <v>587</v>
      </c>
      <c r="C221" s="3">
        <v>46046</v>
      </c>
      <c r="D221" s="2" t="s">
        <v>6</v>
      </c>
      <c r="E221" s="49">
        <v>288525</v>
      </c>
      <c r="F221" s="2" t="s">
        <v>8</v>
      </c>
      <c r="G221" s="2" t="s">
        <v>588</v>
      </c>
    </row>
    <row r="222" spans="1:7" x14ac:dyDescent="0.25">
      <c r="A222" s="1">
        <v>17</v>
      </c>
      <c r="B222" s="2" t="s">
        <v>589</v>
      </c>
      <c r="C222" s="3">
        <v>46046</v>
      </c>
      <c r="D222" s="2" t="s">
        <v>6</v>
      </c>
      <c r="E222" s="49">
        <v>20375</v>
      </c>
      <c r="F222" s="2" t="s">
        <v>8</v>
      </c>
      <c r="G222" s="2" t="s">
        <v>590</v>
      </c>
    </row>
    <row r="223" spans="1:7" x14ac:dyDescent="0.25">
      <c r="A223" s="1">
        <v>18</v>
      </c>
      <c r="B223" s="2" t="s">
        <v>591</v>
      </c>
      <c r="C223" s="3">
        <v>46046</v>
      </c>
      <c r="D223" s="2" t="s">
        <v>6</v>
      </c>
      <c r="E223" s="49">
        <v>20375</v>
      </c>
      <c r="F223" s="2" t="s">
        <v>8</v>
      </c>
      <c r="G223" s="2" t="s">
        <v>592</v>
      </c>
    </row>
    <row r="224" spans="1:7" x14ac:dyDescent="0.25">
      <c r="A224" s="1">
        <v>19</v>
      </c>
      <c r="B224" s="2" t="s">
        <v>593</v>
      </c>
      <c r="C224" s="3">
        <v>46046</v>
      </c>
      <c r="D224" s="2" t="s">
        <v>6</v>
      </c>
      <c r="E224" s="49">
        <v>80925</v>
      </c>
      <c r="F224" s="2" t="s">
        <v>8</v>
      </c>
      <c r="G224" s="2" t="s">
        <v>594</v>
      </c>
    </row>
    <row r="225" spans="1:9" x14ac:dyDescent="0.25">
      <c r="A225" s="1">
        <v>20</v>
      </c>
      <c r="B225" s="2" t="s">
        <v>595</v>
      </c>
      <c r="C225" s="3">
        <v>46047</v>
      </c>
      <c r="D225" s="2" t="s">
        <v>6</v>
      </c>
      <c r="E225" s="49">
        <v>12590</v>
      </c>
      <c r="F225" s="2" t="s">
        <v>8</v>
      </c>
      <c r="G225" s="2" t="s">
        <v>596</v>
      </c>
    </row>
    <row r="226" spans="1:9" x14ac:dyDescent="0.25">
      <c r="A226" s="1">
        <v>21</v>
      </c>
      <c r="B226" s="2" t="s">
        <v>597</v>
      </c>
      <c r="C226" s="3">
        <v>46047</v>
      </c>
      <c r="D226" s="2" t="s">
        <v>6</v>
      </c>
      <c r="E226" s="49">
        <v>115950</v>
      </c>
      <c r="F226" s="2" t="s">
        <v>8</v>
      </c>
      <c r="G226" s="2" t="s">
        <v>598</v>
      </c>
    </row>
    <row r="227" spans="1:9" x14ac:dyDescent="0.25">
      <c r="A227" s="1">
        <v>22</v>
      </c>
      <c r="B227" s="2" t="s">
        <v>599</v>
      </c>
      <c r="C227" s="3">
        <v>46047</v>
      </c>
      <c r="D227" s="2" t="s">
        <v>6</v>
      </c>
      <c r="E227" s="49">
        <v>20375</v>
      </c>
      <c r="F227" s="2" t="s">
        <v>8</v>
      </c>
      <c r="G227" s="2" t="s">
        <v>600</v>
      </c>
    </row>
    <row r="228" spans="1:9" x14ac:dyDescent="0.25">
      <c r="A228" s="1">
        <v>23</v>
      </c>
      <c r="B228" s="2" t="s">
        <v>601</v>
      </c>
      <c r="C228" s="3">
        <v>46048</v>
      </c>
      <c r="D228" s="2" t="s">
        <v>6</v>
      </c>
      <c r="E228" s="49">
        <v>59300</v>
      </c>
      <c r="F228" s="2" t="s">
        <v>8</v>
      </c>
      <c r="G228" s="2" t="s">
        <v>602</v>
      </c>
    </row>
    <row r="229" spans="1:9" x14ac:dyDescent="0.25">
      <c r="A229" s="1">
        <v>24</v>
      </c>
      <c r="B229" s="6" t="s">
        <v>603</v>
      </c>
      <c r="C229" s="7">
        <v>46045</v>
      </c>
      <c r="D229" s="6" t="s">
        <v>72</v>
      </c>
      <c r="E229" s="8">
        <v>12846</v>
      </c>
      <c r="F229" s="6" t="s">
        <v>8</v>
      </c>
      <c r="G229" s="6" t="s">
        <v>604</v>
      </c>
    </row>
    <row r="230" spans="1:9" x14ac:dyDescent="0.25">
      <c r="A230" s="1">
        <v>25</v>
      </c>
      <c r="B230" s="6" t="s">
        <v>605</v>
      </c>
      <c r="C230" s="7">
        <v>46046</v>
      </c>
      <c r="D230" s="6" t="s">
        <v>72</v>
      </c>
      <c r="E230" s="8">
        <v>258350</v>
      </c>
      <c r="F230" s="6" t="s">
        <v>8</v>
      </c>
      <c r="G230" s="6" t="s">
        <v>606</v>
      </c>
    </row>
    <row r="231" spans="1:9" x14ac:dyDescent="0.25">
      <c r="A231" s="1">
        <v>26</v>
      </c>
      <c r="B231" s="6" t="s">
        <v>607</v>
      </c>
      <c r="C231" s="7">
        <v>46047</v>
      </c>
      <c r="D231" s="6" t="s">
        <v>72</v>
      </c>
      <c r="E231" s="8">
        <v>67525</v>
      </c>
      <c r="F231" s="6" t="s">
        <v>8</v>
      </c>
      <c r="G231" s="6" t="s">
        <v>608</v>
      </c>
    </row>
    <row r="232" spans="1:9" x14ac:dyDescent="0.25">
      <c r="A232" s="1">
        <v>27</v>
      </c>
      <c r="B232" s="6" t="s">
        <v>609</v>
      </c>
      <c r="C232" s="7">
        <v>46047</v>
      </c>
      <c r="D232" s="6" t="s">
        <v>72</v>
      </c>
      <c r="E232" s="8">
        <v>301360</v>
      </c>
      <c r="F232" s="6" t="s">
        <v>8</v>
      </c>
      <c r="G232" s="6" t="s">
        <v>610</v>
      </c>
    </row>
    <row r="233" spans="1:9" x14ac:dyDescent="0.25">
      <c r="C233" s="51" t="s">
        <v>204</v>
      </c>
      <c r="D233" s="51"/>
      <c r="E233" s="47">
        <v>2245046</v>
      </c>
      <c r="G233" s="25">
        <f>E233*15%</f>
        <v>336756.89999999997</v>
      </c>
    </row>
    <row r="234" spans="1:9" x14ac:dyDescent="0.25">
      <c r="C234" s="58">
        <v>46048</v>
      </c>
      <c r="D234" s="59"/>
      <c r="E234" s="54" t="s">
        <v>347</v>
      </c>
      <c r="F234" s="54"/>
      <c r="G234" s="27">
        <v>565000</v>
      </c>
    </row>
    <row r="235" spans="1:9" x14ac:dyDescent="0.25">
      <c r="G235" s="50">
        <f>G233-G234</f>
        <v>-228243.10000000003</v>
      </c>
      <c r="H235" s="62" t="s">
        <v>612</v>
      </c>
      <c r="I235" s="62"/>
    </row>
    <row r="236" spans="1:9" x14ac:dyDescent="0.25">
      <c r="G236" s="27">
        <v>5039113</v>
      </c>
    </row>
    <row r="237" spans="1:9" x14ac:dyDescent="0.25">
      <c r="G237" s="48">
        <v>4810870</v>
      </c>
      <c r="H237" s="60" t="s">
        <v>477</v>
      </c>
      <c r="I237" s="60"/>
    </row>
    <row r="239" spans="1:9" x14ac:dyDescent="0.25">
      <c r="A239" s="52" t="s">
        <v>348</v>
      </c>
      <c r="B239" s="61"/>
      <c r="C239" s="61"/>
      <c r="D239" s="61"/>
      <c r="E239" s="61"/>
      <c r="F239" s="61"/>
      <c r="G239" s="61"/>
    </row>
    <row r="240" spans="1:9" x14ac:dyDescent="0.25">
      <c r="A240" s="61"/>
      <c r="B240" s="61"/>
      <c r="C240" s="61"/>
      <c r="D240" s="61"/>
      <c r="E240" s="61"/>
      <c r="F240" s="61"/>
      <c r="G240" s="61"/>
    </row>
    <row r="241" spans="1:7" ht="15.75" x14ac:dyDescent="0.25">
      <c r="A241" s="53" t="s">
        <v>746</v>
      </c>
      <c r="B241" s="53"/>
      <c r="C241" s="53"/>
      <c r="D241" s="53"/>
      <c r="E241" s="53"/>
      <c r="F241" s="53"/>
      <c r="G241" s="53"/>
    </row>
    <row r="242" spans="1:7" ht="30" x14ac:dyDescent="0.25">
      <c r="A242" s="12" t="s">
        <v>202</v>
      </c>
      <c r="B242" s="10" t="s">
        <v>203</v>
      </c>
      <c r="C242" s="10" t="s">
        <v>1</v>
      </c>
      <c r="D242" s="10" t="s">
        <v>2</v>
      </c>
      <c r="E242" s="10" t="s">
        <v>3</v>
      </c>
      <c r="F242" s="10" t="s">
        <v>4</v>
      </c>
      <c r="G242" s="11" t="s">
        <v>5</v>
      </c>
    </row>
    <row r="243" spans="1:7" x14ac:dyDescent="0.25">
      <c r="A243" s="1">
        <v>1</v>
      </c>
      <c r="B243" s="2" t="s">
        <v>601</v>
      </c>
      <c r="C243" s="3">
        <v>46048</v>
      </c>
      <c r="D243" s="2" t="s">
        <v>6</v>
      </c>
      <c r="E243" s="49">
        <v>59300</v>
      </c>
      <c r="F243" s="2" t="s">
        <v>8</v>
      </c>
      <c r="G243" s="2" t="s">
        <v>602</v>
      </c>
    </row>
    <row r="244" spans="1:7" x14ac:dyDescent="0.25">
      <c r="A244" s="1">
        <v>2</v>
      </c>
      <c r="B244" s="2" t="s">
        <v>613</v>
      </c>
      <c r="C244" s="3">
        <v>46048</v>
      </c>
      <c r="D244" s="2" t="s">
        <v>6</v>
      </c>
      <c r="E244" s="49">
        <v>261050</v>
      </c>
      <c r="F244" s="2" t="s">
        <v>8</v>
      </c>
      <c r="G244" s="2" t="s">
        <v>614</v>
      </c>
    </row>
    <row r="245" spans="1:7" x14ac:dyDescent="0.25">
      <c r="A245" s="1">
        <v>3</v>
      </c>
      <c r="B245" s="2" t="s">
        <v>615</v>
      </c>
      <c r="C245" s="3">
        <v>46048</v>
      </c>
      <c r="D245" s="2" t="s">
        <v>6</v>
      </c>
      <c r="E245" s="49">
        <v>353400</v>
      </c>
      <c r="F245" s="2" t="s">
        <v>8</v>
      </c>
      <c r="G245" s="2" t="s">
        <v>616</v>
      </c>
    </row>
    <row r="246" spans="1:7" x14ac:dyDescent="0.25">
      <c r="A246" s="1">
        <v>4</v>
      </c>
      <c r="B246" s="2" t="s">
        <v>617</v>
      </c>
      <c r="C246" s="3">
        <v>46048</v>
      </c>
      <c r="D246" s="2" t="s">
        <v>6</v>
      </c>
      <c r="E246" s="49">
        <v>12590</v>
      </c>
      <c r="F246" s="2" t="s">
        <v>8</v>
      </c>
      <c r="G246" s="2" t="s">
        <v>618</v>
      </c>
    </row>
    <row r="247" spans="1:7" x14ac:dyDescent="0.25">
      <c r="A247" s="1">
        <v>5</v>
      </c>
      <c r="B247" s="2" t="s">
        <v>619</v>
      </c>
      <c r="C247" s="3">
        <v>46049</v>
      </c>
      <c r="D247" s="2" t="s">
        <v>6</v>
      </c>
      <c r="E247" s="49">
        <v>20375</v>
      </c>
      <c r="F247" s="2" t="s">
        <v>8</v>
      </c>
      <c r="G247" s="2" t="s">
        <v>620</v>
      </c>
    </row>
    <row r="248" spans="1:7" x14ac:dyDescent="0.25">
      <c r="A248" s="1">
        <v>6</v>
      </c>
      <c r="B248" s="2" t="s">
        <v>621</v>
      </c>
      <c r="C248" s="3">
        <v>46049</v>
      </c>
      <c r="D248" s="2" t="s">
        <v>6</v>
      </c>
      <c r="E248" s="49">
        <v>80925</v>
      </c>
      <c r="F248" s="2" t="s">
        <v>8</v>
      </c>
      <c r="G248" s="2" t="s">
        <v>622</v>
      </c>
    </row>
    <row r="249" spans="1:7" x14ac:dyDescent="0.25">
      <c r="A249" s="1">
        <v>7</v>
      </c>
      <c r="B249" s="2" t="s">
        <v>623</v>
      </c>
      <c r="C249" s="3">
        <v>46049</v>
      </c>
      <c r="D249" s="2" t="s">
        <v>6</v>
      </c>
      <c r="E249" s="49">
        <v>50650</v>
      </c>
      <c r="F249" s="2" t="s">
        <v>8</v>
      </c>
      <c r="G249" s="2" t="s">
        <v>624</v>
      </c>
    </row>
    <row r="250" spans="1:7" x14ac:dyDescent="0.25">
      <c r="A250" s="1">
        <v>8</v>
      </c>
      <c r="B250" s="2" t="s">
        <v>625</v>
      </c>
      <c r="C250" s="3">
        <v>46049</v>
      </c>
      <c r="D250" s="2" t="s">
        <v>6</v>
      </c>
      <c r="E250" s="49">
        <v>686750</v>
      </c>
      <c r="F250" s="2" t="s">
        <v>8</v>
      </c>
      <c r="G250" s="2" t="s">
        <v>626</v>
      </c>
    </row>
    <row r="251" spans="1:7" x14ac:dyDescent="0.25">
      <c r="A251" s="1">
        <v>9</v>
      </c>
      <c r="B251" s="2" t="s">
        <v>627</v>
      </c>
      <c r="C251" s="3">
        <v>46049</v>
      </c>
      <c r="D251" s="2" t="s">
        <v>6</v>
      </c>
      <c r="E251" s="49">
        <v>12590</v>
      </c>
      <c r="F251" s="2" t="s">
        <v>8</v>
      </c>
      <c r="G251" s="2" t="s">
        <v>628</v>
      </c>
    </row>
    <row r="252" spans="1:7" x14ac:dyDescent="0.25">
      <c r="A252" s="1">
        <v>10</v>
      </c>
      <c r="B252" s="2" t="s">
        <v>629</v>
      </c>
      <c r="C252" s="3">
        <v>46050</v>
      </c>
      <c r="D252" s="2" t="s">
        <v>6</v>
      </c>
      <c r="E252" s="49">
        <v>42000</v>
      </c>
      <c r="F252" s="2" t="s">
        <v>8</v>
      </c>
      <c r="G252" s="2" t="s">
        <v>630</v>
      </c>
    </row>
    <row r="253" spans="1:7" x14ac:dyDescent="0.25">
      <c r="A253" s="1">
        <v>11</v>
      </c>
      <c r="B253" s="2" t="s">
        <v>631</v>
      </c>
      <c r="C253" s="3">
        <v>46050</v>
      </c>
      <c r="D253" s="2" t="s">
        <v>6</v>
      </c>
      <c r="E253" s="49">
        <v>20375</v>
      </c>
      <c r="F253" s="2" t="s">
        <v>8</v>
      </c>
      <c r="G253" s="2" t="s">
        <v>632</v>
      </c>
    </row>
    <row r="254" spans="1:7" x14ac:dyDescent="0.25">
      <c r="A254" s="1">
        <v>12</v>
      </c>
      <c r="B254" s="2" t="s">
        <v>633</v>
      </c>
      <c r="C254" s="3">
        <v>46050</v>
      </c>
      <c r="D254" s="2" t="s">
        <v>6</v>
      </c>
      <c r="E254" s="49">
        <v>20375</v>
      </c>
      <c r="F254" s="2" t="s">
        <v>8</v>
      </c>
      <c r="G254" s="2" t="s">
        <v>634</v>
      </c>
    </row>
    <row r="255" spans="1:7" x14ac:dyDescent="0.25">
      <c r="A255" s="1">
        <v>13</v>
      </c>
      <c r="B255" s="2" t="s">
        <v>635</v>
      </c>
      <c r="C255" s="3">
        <v>46050</v>
      </c>
      <c r="D255" s="2" t="s">
        <v>6</v>
      </c>
      <c r="E255" s="49">
        <v>12590</v>
      </c>
      <c r="F255" s="2" t="s">
        <v>8</v>
      </c>
      <c r="G255" s="2" t="s">
        <v>636</v>
      </c>
    </row>
    <row r="256" spans="1:7" x14ac:dyDescent="0.25">
      <c r="A256" s="1">
        <v>14</v>
      </c>
      <c r="B256" s="2" t="s">
        <v>637</v>
      </c>
      <c r="C256" s="3">
        <v>46050</v>
      </c>
      <c r="D256" s="2" t="s">
        <v>6</v>
      </c>
      <c r="E256" s="49">
        <v>20375</v>
      </c>
      <c r="F256" s="2" t="s">
        <v>8</v>
      </c>
      <c r="G256" s="2" t="s">
        <v>638</v>
      </c>
    </row>
    <row r="257" spans="1:7" x14ac:dyDescent="0.25">
      <c r="A257" s="1">
        <v>15</v>
      </c>
      <c r="B257" s="2" t="s">
        <v>639</v>
      </c>
      <c r="C257" s="3">
        <v>46050</v>
      </c>
      <c r="D257" s="2" t="s">
        <v>6</v>
      </c>
      <c r="E257" s="49">
        <v>12590</v>
      </c>
      <c r="F257" s="2" t="s">
        <v>8</v>
      </c>
      <c r="G257" s="2" t="s">
        <v>640</v>
      </c>
    </row>
    <row r="258" spans="1:7" x14ac:dyDescent="0.25">
      <c r="A258" s="1">
        <v>16</v>
      </c>
      <c r="B258" s="2" t="s">
        <v>641</v>
      </c>
      <c r="C258" s="3">
        <v>46050</v>
      </c>
      <c r="D258" s="2" t="s">
        <v>6</v>
      </c>
      <c r="E258" s="49">
        <v>12590</v>
      </c>
      <c r="F258" s="2" t="s">
        <v>8</v>
      </c>
      <c r="G258" s="2" t="s">
        <v>642</v>
      </c>
    </row>
    <row r="259" spans="1:7" x14ac:dyDescent="0.25">
      <c r="A259" s="1">
        <v>17</v>
      </c>
      <c r="B259" s="2" t="s">
        <v>643</v>
      </c>
      <c r="C259" s="3">
        <v>46050</v>
      </c>
      <c r="D259" s="2" t="s">
        <v>6</v>
      </c>
      <c r="E259" s="49">
        <v>42000</v>
      </c>
      <c r="F259" s="2" t="s">
        <v>8</v>
      </c>
      <c r="G259" s="2" t="s">
        <v>644</v>
      </c>
    </row>
    <row r="260" spans="1:7" x14ac:dyDescent="0.25">
      <c r="A260" s="1">
        <v>18</v>
      </c>
      <c r="B260" s="2" t="s">
        <v>645</v>
      </c>
      <c r="C260" s="3">
        <v>46050</v>
      </c>
      <c r="D260" s="2" t="s">
        <v>6</v>
      </c>
      <c r="E260" s="49">
        <v>42000</v>
      </c>
      <c r="F260" s="2" t="s">
        <v>8</v>
      </c>
      <c r="G260" s="2" t="s">
        <v>646</v>
      </c>
    </row>
    <row r="261" spans="1:7" x14ac:dyDescent="0.25">
      <c r="A261" s="1">
        <v>19</v>
      </c>
      <c r="B261" s="2" t="s">
        <v>647</v>
      </c>
      <c r="C261" s="3">
        <v>46050</v>
      </c>
      <c r="D261" s="2" t="s">
        <v>6</v>
      </c>
      <c r="E261" s="49">
        <v>418275</v>
      </c>
      <c r="F261" s="2" t="s">
        <v>8</v>
      </c>
      <c r="G261" s="2" t="s">
        <v>648</v>
      </c>
    </row>
    <row r="262" spans="1:7" x14ac:dyDescent="0.25">
      <c r="A262" s="1">
        <v>20</v>
      </c>
      <c r="B262" s="2" t="s">
        <v>649</v>
      </c>
      <c r="C262" s="3">
        <v>46050</v>
      </c>
      <c r="D262" s="2" t="s">
        <v>6</v>
      </c>
      <c r="E262" s="49">
        <v>74870</v>
      </c>
      <c r="F262" s="2" t="s">
        <v>8</v>
      </c>
      <c r="G262" s="2" t="s">
        <v>650</v>
      </c>
    </row>
    <row r="263" spans="1:7" x14ac:dyDescent="0.25">
      <c r="A263" s="1">
        <v>21</v>
      </c>
      <c r="B263" s="2" t="s">
        <v>651</v>
      </c>
      <c r="C263" s="3">
        <v>46050</v>
      </c>
      <c r="D263" s="2" t="s">
        <v>6</v>
      </c>
      <c r="E263" s="49">
        <v>12590</v>
      </c>
      <c r="F263" s="2" t="s">
        <v>8</v>
      </c>
      <c r="G263" s="2" t="s">
        <v>652</v>
      </c>
    </row>
    <row r="264" spans="1:7" x14ac:dyDescent="0.25">
      <c r="A264" s="1">
        <v>22</v>
      </c>
      <c r="B264" s="2" t="s">
        <v>653</v>
      </c>
      <c r="C264" s="3">
        <v>46050</v>
      </c>
      <c r="D264" s="2" t="s">
        <v>6</v>
      </c>
      <c r="E264" s="49">
        <v>20375</v>
      </c>
      <c r="F264" s="2" t="s">
        <v>8</v>
      </c>
      <c r="G264" s="2" t="s">
        <v>654</v>
      </c>
    </row>
    <row r="265" spans="1:7" x14ac:dyDescent="0.25">
      <c r="A265" s="1">
        <v>23</v>
      </c>
      <c r="B265" s="2" t="s">
        <v>655</v>
      </c>
      <c r="C265" s="3">
        <v>46051</v>
      </c>
      <c r="D265" s="2" t="s">
        <v>6</v>
      </c>
      <c r="E265" s="49">
        <v>20375</v>
      </c>
      <c r="F265" s="2" t="s">
        <v>8</v>
      </c>
      <c r="G265" s="2" t="s">
        <v>656</v>
      </c>
    </row>
    <row r="266" spans="1:7" x14ac:dyDescent="0.25">
      <c r="A266" s="1">
        <v>24</v>
      </c>
      <c r="B266" s="2" t="s">
        <v>657</v>
      </c>
      <c r="C266" s="3">
        <v>46051</v>
      </c>
      <c r="D266" s="2" t="s">
        <v>6</v>
      </c>
      <c r="E266" s="49">
        <v>40270</v>
      </c>
      <c r="F266" s="2" t="s">
        <v>8</v>
      </c>
      <c r="G266" s="2" t="s">
        <v>658</v>
      </c>
    </row>
    <row r="267" spans="1:7" x14ac:dyDescent="0.25">
      <c r="A267" s="1">
        <v>25</v>
      </c>
      <c r="B267" s="2" t="s">
        <v>659</v>
      </c>
      <c r="C267" s="3">
        <v>46051</v>
      </c>
      <c r="D267" s="2" t="s">
        <v>6</v>
      </c>
      <c r="E267" s="49">
        <v>24700</v>
      </c>
      <c r="F267" s="2" t="s">
        <v>8</v>
      </c>
      <c r="G267" s="2" t="s">
        <v>660</v>
      </c>
    </row>
    <row r="268" spans="1:7" x14ac:dyDescent="0.25">
      <c r="A268" s="1">
        <v>26</v>
      </c>
      <c r="B268" s="2" t="s">
        <v>661</v>
      </c>
      <c r="C268" s="3">
        <v>46051</v>
      </c>
      <c r="D268" s="2" t="s">
        <v>6</v>
      </c>
      <c r="E268" s="49">
        <v>12590</v>
      </c>
      <c r="F268" s="2" t="s">
        <v>8</v>
      </c>
      <c r="G268" s="2" t="s">
        <v>662</v>
      </c>
    </row>
    <row r="269" spans="1:7" x14ac:dyDescent="0.25">
      <c r="A269" s="1">
        <v>27</v>
      </c>
      <c r="B269" s="2" t="s">
        <v>663</v>
      </c>
      <c r="C269" s="3">
        <v>46051</v>
      </c>
      <c r="D269" s="2" t="s">
        <v>6</v>
      </c>
      <c r="E269" s="49">
        <v>27295</v>
      </c>
      <c r="F269" s="2" t="s">
        <v>8</v>
      </c>
      <c r="G269" s="2" t="s">
        <v>664</v>
      </c>
    </row>
    <row r="270" spans="1:7" x14ac:dyDescent="0.25">
      <c r="A270" s="1">
        <v>28</v>
      </c>
      <c r="B270" s="2" t="s">
        <v>665</v>
      </c>
      <c r="C270" s="3">
        <v>46051</v>
      </c>
      <c r="D270" s="2" t="s">
        <v>6</v>
      </c>
      <c r="E270" s="49">
        <v>20375</v>
      </c>
      <c r="F270" s="2" t="s">
        <v>8</v>
      </c>
      <c r="G270" s="2" t="s">
        <v>666</v>
      </c>
    </row>
    <row r="271" spans="1:7" x14ac:dyDescent="0.25">
      <c r="A271" s="1">
        <v>29</v>
      </c>
      <c r="B271" s="6" t="s">
        <v>667</v>
      </c>
      <c r="C271" s="7">
        <v>46048</v>
      </c>
      <c r="D271" s="6" t="s">
        <v>72</v>
      </c>
      <c r="E271" s="8">
        <v>12830</v>
      </c>
      <c r="F271" s="6" t="s">
        <v>8</v>
      </c>
      <c r="G271" s="6" t="s">
        <v>668</v>
      </c>
    </row>
    <row r="272" spans="1:7" x14ac:dyDescent="0.25">
      <c r="A272" s="1">
        <v>30</v>
      </c>
      <c r="B272" s="6" t="s">
        <v>669</v>
      </c>
      <c r="C272" s="7">
        <v>46048</v>
      </c>
      <c r="D272" s="6" t="s">
        <v>72</v>
      </c>
      <c r="E272" s="8">
        <v>3138046</v>
      </c>
      <c r="F272" s="6" t="s">
        <v>8</v>
      </c>
      <c r="G272" s="6" t="s">
        <v>670</v>
      </c>
    </row>
    <row r="273" spans="1:9" x14ac:dyDescent="0.25">
      <c r="A273" s="1">
        <v>31</v>
      </c>
      <c r="B273" s="6" t="s">
        <v>671</v>
      </c>
      <c r="C273" s="7">
        <v>46051</v>
      </c>
      <c r="D273" s="6" t="s">
        <v>72</v>
      </c>
      <c r="E273" s="8">
        <v>172980</v>
      </c>
      <c r="F273" s="6" t="s">
        <v>8</v>
      </c>
      <c r="G273" s="6" t="s">
        <v>672</v>
      </c>
    </row>
    <row r="274" spans="1:9" x14ac:dyDescent="0.25">
      <c r="A274" s="1">
        <v>32</v>
      </c>
      <c r="B274" s="6" t="s">
        <v>673</v>
      </c>
      <c r="C274" s="7">
        <v>46051</v>
      </c>
      <c r="D274" s="6" t="s">
        <v>72</v>
      </c>
      <c r="E274" s="8">
        <v>5341150</v>
      </c>
      <c r="F274" s="6" t="s">
        <v>8</v>
      </c>
      <c r="G274" s="6" t="s">
        <v>674</v>
      </c>
    </row>
    <row r="275" spans="1:9" x14ac:dyDescent="0.25">
      <c r="C275" s="51" t="s">
        <v>204</v>
      </c>
      <c r="D275" s="51"/>
      <c r="E275" s="47">
        <v>11099246</v>
      </c>
      <c r="G275" s="25">
        <f>E275*15%</f>
        <v>1664886.9</v>
      </c>
    </row>
    <row r="276" spans="1:9" x14ac:dyDescent="0.25">
      <c r="C276" s="58">
        <v>46051</v>
      </c>
      <c r="D276" s="59"/>
      <c r="E276" s="54" t="s">
        <v>347</v>
      </c>
      <c r="F276" s="54"/>
      <c r="G276" s="27">
        <v>565000</v>
      </c>
    </row>
    <row r="277" spans="1:9" x14ac:dyDescent="0.25">
      <c r="G277" s="48">
        <f>G275-G276</f>
        <v>1099886.8999999999</v>
      </c>
      <c r="H277" s="60" t="s">
        <v>477</v>
      </c>
      <c r="I277" s="60"/>
    </row>
    <row r="278" spans="1:9" x14ac:dyDescent="0.25">
      <c r="G278" s="27">
        <v>4810870</v>
      </c>
    </row>
    <row r="279" spans="1:9" x14ac:dyDescent="0.25">
      <c r="G279" s="48">
        <f>G277+G278</f>
        <v>5910756.9000000004</v>
      </c>
    </row>
    <row r="281" spans="1:9" x14ac:dyDescent="0.25">
      <c r="A281" s="63"/>
      <c r="B281" s="63"/>
      <c r="C281" s="66" t="s">
        <v>745</v>
      </c>
      <c r="D281" s="66"/>
      <c r="E281" s="66"/>
      <c r="F281" s="1" t="s">
        <v>744</v>
      </c>
      <c r="G281" s="64">
        <v>565000</v>
      </c>
    </row>
    <row r="282" spans="1:9" x14ac:dyDescent="0.25">
      <c r="C282" s="64"/>
      <c r="D282" s="64"/>
      <c r="E282" s="27"/>
      <c r="G282" s="65">
        <f>G281*6</f>
        <v>3390000</v>
      </c>
    </row>
  </sheetData>
  <mergeCells count="38">
    <mergeCell ref="C281:E281"/>
    <mergeCell ref="A239:G240"/>
    <mergeCell ref="A241:G241"/>
    <mergeCell ref="C234:D234"/>
    <mergeCell ref="E234:F234"/>
    <mergeCell ref="H237:I237"/>
    <mergeCell ref="H235:I235"/>
    <mergeCell ref="C233:D233"/>
    <mergeCell ref="A202:G203"/>
    <mergeCell ref="A204:G204"/>
    <mergeCell ref="H48:I48"/>
    <mergeCell ref="A117:G118"/>
    <mergeCell ref="A119:G119"/>
    <mergeCell ref="A50:G51"/>
    <mergeCell ref="A52:G52"/>
    <mergeCell ref="C111:D111"/>
    <mergeCell ref="H198:I198"/>
    <mergeCell ref="C196:D196"/>
    <mergeCell ref="C197:D197"/>
    <mergeCell ref="E197:F197"/>
    <mergeCell ref="C112:D112"/>
    <mergeCell ref="E112:F112"/>
    <mergeCell ref="A174:G175"/>
    <mergeCell ref="A176:G176"/>
    <mergeCell ref="A1:G2"/>
    <mergeCell ref="A3:G3"/>
    <mergeCell ref="E47:F47"/>
    <mergeCell ref="C47:D47"/>
    <mergeCell ref="C46:D46"/>
    <mergeCell ref="H170:I170"/>
    <mergeCell ref="C168:D168"/>
    <mergeCell ref="C169:D169"/>
    <mergeCell ref="E169:F169"/>
    <mergeCell ref="H113:I113"/>
    <mergeCell ref="C276:D276"/>
    <mergeCell ref="E276:F276"/>
    <mergeCell ref="H277:I277"/>
    <mergeCell ref="C275:D275"/>
  </mergeCells>
  <pageMargins left="0.7" right="0.7" top="0.75" bottom="0.75" header="0.3" footer="0.3"/>
  <ignoredErrors>
    <ignoredError sqref="G37 G38:G45 G97:G110 G156:G167 G190:G195 G229:G232 G271:G27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4A68-D9FB-4244-88F6-D673914966B8}">
  <dimension ref="A1:J43"/>
  <sheetViews>
    <sheetView topLeftCell="A13" workbookViewId="0">
      <selection activeCell="J45" sqref="J45"/>
    </sheetView>
  </sheetViews>
  <sheetFormatPr defaultRowHeight="15" x14ac:dyDescent="0.25"/>
  <cols>
    <col min="2" max="2" width="13.7109375" bestFit="1" customWidth="1"/>
    <col min="3" max="3" width="10.85546875" bestFit="1" customWidth="1"/>
    <col min="4" max="4" width="12.140625" customWidth="1"/>
    <col min="5" max="5" width="15.5703125" bestFit="1" customWidth="1"/>
    <col min="7" max="7" width="19.28515625" bestFit="1" customWidth="1"/>
  </cols>
  <sheetData>
    <row r="1" spans="1:7" ht="28.5" x14ac:dyDescent="0.25">
      <c r="A1" s="52" t="s">
        <v>348</v>
      </c>
      <c r="B1" s="61"/>
      <c r="C1" s="61"/>
      <c r="D1" s="61"/>
      <c r="E1" s="61"/>
      <c r="F1" s="61"/>
      <c r="G1" s="61"/>
    </row>
    <row r="2" spans="1:7" x14ac:dyDescent="0.25">
      <c r="A2" s="61"/>
      <c r="B2" s="61"/>
      <c r="C2" s="61"/>
      <c r="D2" s="61"/>
      <c r="E2" s="61"/>
      <c r="F2" s="61"/>
      <c r="G2" s="61"/>
    </row>
    <row r="3" spans="1:7" ht="15.75" x14ac:dyDescent="0.25">
      <c r="A3" s="53" t="s">
        <v>743</v>
      </c>
      <c r="B3" s="53"/>
      <c r="C3" s="53"/>
      <c r="D3" s="53"/>
      <c r="E3" s="53"/>
      <c r="F3" s="53"/>
      <c r="G3" s="53"/>
    </row>
    <row r="4" spans="1:7" ht="30" x14ac:dyDescent="0.25">
      <c r="A4" s="12" t="s">
        <v>202</v>
      </c>
      <c r="B4" s="10" t="s">
        <v>203</v>
      </c>
      <c r="C4" s="10" t="s">
        <v>1</v>
      </c>
      <c r="D4" s="10" t="s">
        <v>2</v>
      </c>
      <c r="E4" s="10" t="s">
        <v>3</v>
      </c>
      <c r="F4" s="10" t="s">
        <v>4</v>
      </c>
      <c r="G4" s="11" t="s">
        <v>5</v>
      </c>
    </row>
    <row r="5" spans="1:7" x14ac:dyDescent="0.25">
      <c r="A5">
        <v>1</v>
      </c>
      <c r="B5" s="4" t="s">
        <v>675</v>
      </c>
      <c r="C5" s="45">
        <v>46052</v>
      </c>
      <c r="D5" s="4" t="s">
        <v>6</v>
      </c>
      <c r="E5" s="5">
        <v>13799</v>
      </c>
      <c r="F5" s="4" t="s">
        <v>8</v>
      </c>
      <c r="G5" s="4" t="s">
        <v>676</v>
      </c>
    </row>
    <row r="6" spans="1:7" x14ac:dyDescent="0.25">
      <c r="A6">
        <v>2</v>
      </c>
      <c r="B6" s="4" t="s">
        <v>677</v>
      </c>
      <c r="C6" s="45">
        <v>46052</v>
      </c>
      <c r="D6" s="4" t="s">
        <v>6</v>
      </c>
      <c r="E6" s="5">
        <v>137150</v>
      </c>
      <c r="F6" s="4" t="s">
        <v>8</v>
      </c>
      <c r="G6" s="4" t="s">
        <v>678</v>
      </c>
    </row>
    <row r="7" spans="1:7" x14ac:dyDescent="0.25">
      <c r="A7">
        <v>3</v>
      </c>
      <c r="B7" s="4" t="s">
        <v>679</v>
      </c>
      <c r="C7" s="45">
        <v>46052</v>
      </c>
      <c r="D7" s="4" t="s">
        <v>6</v>
      </c>
      <c r="E7" s="5">
        <v>132825</v>
      </c>
      <c r="F7" s="4" t="s">
        <v>8</v>
      </c>
      <c r="G7" s="4" t="s">
        <v>680</v>
      </c>
    </row>
    <row r="8" spans="1:7" x14ac:dyDescent="0.25">
      <c r="A8">
        <v>4</v>
      </c>
      <c r="B8" s="4" t="s">
        <v>681</v>
      </c>
      <c r="C8" s="45">
        <v>46052</v>
      </c>
      <c r="D8" s="4" t="s">
        <v>6</v>
      </c>
      <c r="E8" s="5">
        <v>171750</v>
      </c>
      <c r="F8" s="4" t="s">
        <v>8</v>
      </c>
      <c r="G8" s="4" t="s">
        <v>682</v>
      </c>
    </row>
    <row r="9" spans="1:7" x14ac:dyDescent="0.25">
      <c r="A9">
        <v>5</v>
      </c>
      <c r="B9" s="4" t="s">
        <v>683</v>
      </c>
      <c r="C9" s="45">
        <v>46052</v>
      </c>
      <c r="D9" s="4" t="s">
        <v>6</v>
      </c>
      <c r="E9" s="5">
        <v>12590</v>
      </c>
      <c r="F9" s="4" t="s">
        <v>8</v>
      </c>
      <c r="G9" s="4" t="s">
        <v>684</v>
      </c>
    </row>
    <row r="10" spans="1:7" x14ac:dyDescent="0.25">
      <c r="A10">
        <v>6</v>
      </c>
      <c r="B10" s="4" t="s">
        <v>685</v>
      </c>
      <c r="C10" s="45">
        <v>46052</v>
      </c>
      <c r="D10" s="4" t="s">
        <v>6</v>
      </c>
      <c r="E10" s="5">
        <v>12590</v>
      </c>
      <c r="F10" s="4" t="s">
        <v>8</v>
      </c>
      <c r="G10" s="4" t="s">
        <v>686</v>
      </c>
    </row>
    <row r="11" spans="1:7" x14ac:dyDescent="0.25">
      <c r="A11">
        <v>7</v>
      </c>
      <c r="B11" s="4" t="s">
        <v>687</v>
      </c>
      <c r="C11" s="45">
        <v>46052</v>
      </c>
      <c r="D11" s="4" t="s">
        <v>6</v>
      </c>
      <c r="E11" s="5">
        <v>20375</v>
      </c>
      <c r="F11" s="4" t="s">
        <v>8</v>
      </c>
      <c r="G11" s="4" t="s">
        <v>688</v>
      </c>
    </row>
    <row r="12" spans="1:7" x14ac:dyDescent="0.25">
      <c r="A12">
        <v>8</v>
      </c>
      <c r="B12" s="4" t="s">
        <v>689</v>
      </c>
      <c r="C12" s="45">
        <v>46053</v>
      </c>
      <c r="D12" s="4" t="s">
        <v>6</v>
      </c>
      <c r="E12" s="5">
        <v>12590</v>
      </c>
      <c r="F12" s="4" t="s">
        <v>8</v>
      </c>
      <c r="G12" s="4" t="s">
        <v>690</v>
      </c>
    </row>
    <row r="13" spans="1:7" x14ac:dyDescent="0.25">
      <c r="A13">
        <v>9</v>
      </c>
      <c r="B13" s="4" t="s">
        <v>691</v>
      </c>
      <c r="C13" s="45">
        <v>46053</v>
      </c>
      <c r="D13" s="4" t="s">
        <v>6</v>
      </c>
      <c r="E13" s="5">
        <v>12590</v>
      </c>
      <c r="F13" s="4" t="s">
        <v>8</v>
      </c>
      <c r="G13" s="4" t="s">
        <v>692</v>
      </c>
    </row>
    <row r="14" spans="1:7" x14ac:dyDescent="0.25">
      <c r="A14">
        <v>10</v>
      </c>
      <c r="B14" s="4" t="s">
        <v>693</v>
      </c>
      <c r="C14" s="45">
        <v>46053</v>
      </c>
      <c r="D14" s="4" t="s">
        <v>6</v>
      </c>
      <c r="E14" s="5">
        <v>12590</v>
      </c>
      <c r="F14" s="4" t="s">
        <v>8</v>
      </c>
      <c r="G14" s="4" t="s">
        <v>694</v>
      </c>
    </row>
    <row r="15" spans="1:7" x14ac:dyDescent="0.25">
      <c r="A15">
        <v>11</v>
      </c>
      <c r="B15" s="4" t="s">
        <v>695</v>
      </c>
      <c r="C15" s="45">
        <v>46053</v>
      </c>
      <c r="D15" s="4" t="s">
        <v>6</v>
      </c>
      <c r="E15" s="5">
        <v>125905</v>
      </c>
      <c r="F15" s="4" t="s">
        <v>8</v>
      </c>
      <c r="G15" s="4" t="s">
        <v>696</v>
      </c>
    </row>
    <row r="16" spans="1:7" x14ac:dyDescent="0.25">
      <c r="A16">
        <v>12</v>
      </c>
      <c r="B16" s="4" t="s">
        <v>697</v>
      </c>
      <c r="C16" s="45">
        <v>46053</v>
      </c>
      <c r="D16" s="4" t="s">
        <v>6</v>
      </c>
      <c r="E16" s="5">
        <v>40270</v>
      </c>
      <c r="F16" s="4" t="s">
        <v>8</v>
      </c>
      <c r="G16" s="4" t="s">
        <v>698</v>
      </c>
    </row>
    <row r="17" spans="1:7" x14ac:dyDescent="0.25">
      <c r="A17">
        <v>13</v>
      </c>
      <c r="B17" s="4" t="s">
        <v>699</v>
      </c>
      <c r="C17" s="45">
        <v>46053</v>
      </c>
      <c r="D17" s="4" t="s">
        <v>6</v>
      </c>
      <c r="E17" s="5">
        <v>20375</v>
      </c>
      <c r="F17" s="4" t="s">
        <v>8</v>
      </c>
      <c r="G17" s="4" t="s">
        <v>700</v>
      </c>
    </row>
    <row r="18" spans="1:7" x14ac:dyDescent="0.25">
      <c r="A18">
        <v>14</v>
      </c>
      <c r="B18" s="4" t="s">
        <v>701</v>
      </c>
      <c r="C18" s="45">
        <v>46053</v>
      </c>
      <c r="D18" s="4" t="s">
        <v>6</v>
      </c>
      <c r="E18" s="5">
        <v>67950</v>
      </c>
      <c r="F18" s="4" t="s">
        <v>8</v>
      </c>
      <c r="G18" s="4" t="s">
        <v>702</v>
      </c>
    </row>
    <row r="19" spans="1:7" x14ac:dyDescent="0.25">
      <c r="A19">
        <v>15</v>
      </c>
      <c r="B19" s="4" t="s">
        <v>703</v>
      </c>
      <c r="C19" s="45">
        <v>46053</v>
      </c>
      <c r="D19" s="4" t="s">
        <v>6</v>
      </c>
      <c r="E19" s="5">
        <v>42000</v>
      </c>
      <c r="F19" s="4" t="s">
        <v>8</v>
      </c>
      <c r="G19" s="4" t="s">
        <v>704</v>
      </c>
    </row>
    <row r="20" spans="1:7" x14ac:dyDescent="0.25">
      <c r="A20">
        <v>16</v>
      </c>
      <c r="B20" s="4" t="s">
        <v>705</v>
      </c>
      <c r="C20" s="45">
        <v>46053</v>
      </c>
      <c r="D20" s="4" t="s">
        <v>6</v>
      </c>
      <c r="E20" s="5">
        <v>270700</v>
      </c>
      <c r="F20" s="4" t="s">
        <v>8</v>
      </c>
      <c r="G20" s="4" t="s">
        <v>706</v>
      </c>
    </row>
    <row r="21" spans="1:7" x14ac:dyDescent="0.25">
      <c r="A21">
        <v>17</v>
      </c>
      <c r="B21" s="4" t="s">
        <v>707</v>
      </c>
      <c r="C21" s="45">
        <v>46053</v>
      </c>
      <c r="D21" s="4" t="s">
        <v>6</v>
      </c>
      <c r="E21" s="5">
        <v>20375</v>
      </c>
      <c r="F21" s="4" t="s">
        <v>8</v>
      </c>
      <c r="G21" s="4" t="s">
        <v>708</v>
      </c>
    </row>
    <row r="22" spans="1:7" x14ac:dyDescent="0.25">
      <c r="A22">
        <v>18</v>
      </c>
      <c r="B22" s="4" t="s">
        <v>709</v>
      </c>
      <c r="C22" s="45">
        <v>46053</v>
      </c>
      <c r="D22" s="4" t="s">
        <v>6</v>
      </c>
      <c r="E22" s="5">
        <v>69680</v>
      </c>
      <c r="F22" s="4" t="s">
        <v>8</v>
      </c>
      <c r="G22" s="4" t="s">
        <v>710</v>
      </c>
    </row>
    <row r="23" spans="1:7" x14ac:dyDescent="0.25">
      <c r="A23">
        <v>19</v>
      </c>
      <c r="B23" s="4" t="s">
        <v>711</v>
      </c>
      <c r="C23" s="45">
        <v>46054</v>
      </c>
      <c r="D23" s="4" t="s">
        <v>6</v>
      </c>
      <c r="E23" s="5">
        <v>137150</v>
      </c>
      <c r="F23" s="4" t="s">
        <v>8</v>
      </c>
      <c r="G23" s="4" t="s">
        <v>712</v>
      </c>
    </row>
    <row r="24" spans="1:7" x14ac:dyDescent="0.25">
      <c r="A24">
        <v>20</v>
      </c>
      <c r="B24" s="4" t="s">
        <v>713</v>
      </c>
      <c r="C24" s="45">
        <v>46054</v>
      </c>
      <c r="D24" s="4" t="s">
        <v>6</v>
      </c>
      <c r="E24" s="5">
        <v>215000</v>
      </c>
      <c r="F24" s="4" t="s">
        <v>8</v>
      </c>
      <c r="G24" s="4" t="s">
        <v>714</v>
      </c>
    </row>
    <row r="25" spans="1:7" x14ac:dyDescent="0.25">
      <c r="A25">
        <v>21</v>
      </c>
      <c r="B25" s="4" t="s">
        <v>715</v>
      </c>
      <c r="C25" s="45">
        <v>46054</v>
      </c>
      <c r="D25" s="4" t="s">
        <v>6</v>
      </c>
      <c r="E25" s="5">
        <v>20375</v>
      </c>
      <c r="F25" s="4" t="s">
        <v>8</v>
      </c>
      <c r="G25" s="4" t="s">
        <v>716</v>
      </c>
    </row>
    <row r="26" spans="1:7" x14ac:dyDescent="0.25">
      <c r="A26">
        <v>22</v>
      </c>
      <c r="B26" s="4" t="s">
        <v>717</v>
      </c>
      <c r="C26" s="45">
        <v>46055</v>
      </c>
      <c r="D26" s="4" t="s">
        <v>6</v>
      </c>
      <c r="E26" s="5">
        <v>12590</v>
      </c>
      <c r="F26" s="4" t="s">
        <v>8</v>
      </c>
      <c r="G26" s="4" t="s">
        <v>718</v>
      </c>
    </row>
    <row r="27" spans="1:7" x14ac:dyDescent="0.25">
      <c r="A27">
        <v>23</v>
      </c>
      <c r="B27" s="4" t="s">
        <v>719</v>
      </c>
      <c r="C27" s="45">
        <v>46055</v>
      </c>
      <c r="D27" s="4" t="s">
        <v>6</v>
      </c>
      <c r="E27" s="5">
        <v>20375</v>
      </c>
      <c r="F27" s="4" t="s">
        <v>8</v>
      </c>
      <c r="G27" s="4" t="s">
        <v>720</v>
      </c>
    </row>
    <row r="28" spans="1:7" x14ac:dyDescent="0.25">
      <c r="A28">
        <v>24</v>
      </c>
      <c r="B28" s="4" t="s">
        <v>721</v>
      </c>
      <c r="C28" s="45">
        <v>46055</v>
      </c>
      <c r="D28" s="4" t="s">
        <v>6</v>
      </c>
      <c r="E28" s="5">
        <v>50650</v>
      </c>
      <c r="F28" s="4" t="s">
        <v>8</v>
      </c>
      <c r="G28" s="4" t="s">
        <v>722</v>
      </c>
    </row>
    <row r="29" spans="1:7" x14ac:dyDescent="0.25">
      <c r="A29">
        <v>25</v>
      </c>
      <c r="B29" s="4" t="s">
        <v>723</v>
      </c>
      <c r="C29" s="45">
        <v>46055</v>
      </c>
      <c r="D29" s="4" t="s">
        <v>6</v>
      </c>
      <c r="E29" s="5">
        <v>128500</v>
      </c>
      <c r="F29" s="4" t="s">
        <v>8</v>
      </c>
      <c r="G29" s="4" t="s">
        <v>724</v>
      </c>
    </row>
    <row r="30" spans="1:7" x14ac:dyDescent="0.25">
      <c r="A30">
        <v>26</v>
      </c>
      <c r="B30" s="4" t="s">
        <v>725</v>
      </c>
      <c r="C30" s="45">
        <v>46055</v>
      </c>
      <c r="D30" s="4" t="s">
        <v>6</v>
      </c>
      <c r="E30" s="5">
        <v>20375</v>
      </c>
      <c r="F30" s="4" t="s">
        <v>8</v>
      </c>
      <c r="G30" s="4" t="s">
        <v>726</v>
      </c>
    </row>
    <row r="31" spans="1:7" x14ac:dyDescent="0.25">
      <c r="A31">
        <v>27</v>
      </c>
      <c r="B31" s="4" t="s">
        <v>727</v>
      </c>
      <c r="C31" s="45">
        <v>46055</v>
      </c>
      <c r="D31" s="4" t="s">
        <v>6</v>
      </c>
      <c r="E31" s="5">
        <v>12590</v>
      </c>
      <c r="F31" s="4" t="s">
        <v>8</v>
      </c>
      <c r="G31" s="4" t="s">
        <v>728</v>
      </c>
    </row>
    <row r="32" spans="1:7" x14ac:dyDescent="0.25">
      <c r="A32">
        <v>28</v>
      </c>
      <c r="B32" s="4" t="s">
        <v>729</v>
      </c>
      <c r="C32" s="45">
        <v>46055</v>
      </c>
      <c r="D32" s="4" t="s">
        <v>6</v>
      </c>
      <c r="E32" s="5">
        <v>164325</v>
      </c>
      <c r="F32" s="4" t="s">
        <v>8</v>
      </c>
      <c r="G32" s="4" t="s">
        <v>730</v>
      </c>
    </row>
    <row r="33" spans="1:10" x14ac:dyDescent="0.25">
      <c r="A33">
        <v>29</v>
      </c>
      <c r="B33" s="4" t="s">
        <v>731</v>
      </c>
      <c r="C33" s="45">
        <v>46055</v>
      </c>
      <c r="D33" s="4" t="s">
        <v>6</v>
      </c>
      <c r="E33" s="5">
        <v>12590</v>
      </c>
      <c r="F33" s="4" t="s">
        <v>8</v>
      </c>
      <c r="G33" s="4" t="s">
        <v>732</v>
      </c>
    </row>
    <row r="34" spans="1:10" x14ac:dyDescent="0.25">
      <c r="A34">
        <v>30</v>
      </c>
      <c r="B34" s="4" t="s">
        <v>733</v>
      </c>
      <c r="C34" s="45">
        <v>46053</v>
      </c>
      <c r="D34" s="4" t="s">
        <v>72</v>
      </c>
      <c r="E34" s="5">
        <v>73944</v>
      </c>
      <c r="F34" s="4" t="s">
        <v>8</v>
      </c>
      <c r="G34" s="4" t="s">
        <v>734</v>
      </c>
    </row>
    <row r="35" spans="1:10" x14ac:dyDescent="0.25">
      <c r="A35">
        <v>31</v>
      </c>
      <c r="B35" s="4" t="s">
        <v>735</v>
      </c>
      <c r="C35" s="45">
        <v>46053</v>
      </c>
      <c r="D35" s="4" t="s">
        <v>72</v>
      </c>
      <c r="E35" s="5">
        <v>390350</v>
      </c>
      <c r="F35" s="4" t="s">
        <v>8</v>
      </c>
      <c r="G35" s="4" t="s">
        <v>736</v>
      </c>
    </row>
    <row r="36" spans="1:10" x14ac:dyDescent="0.25">
      <c r="A36">
        <v>32</v>
      </c>
      <c r="B36" s="4" t="s">
        <v>737</v>
      </c>
      <c r="C36" s="45">
        <v>46055</v>
      </c>
      <c r="D36" s="4" t="s">
        <v>72</v>
      </c>
      <c r="E36" s="5">
        <v>26910</v>
      </c>
      <c r="F36" s="4" t="s">
        <v>8</v>
      </c>
      <c r="G36" s="4" t="s">
        <v>738</v>
      </c>
    </row>
    <row r="37" spans="1:10" x14ac:dyDescent="0.25">
      <c r="A37">
        <v>33</v>
      </c>
      <c r="B37" s="4" t="s">
        <v>739</v>
      </c>
      <c r="C37" s="45">
        <v>46055</v>
      </c>
      <c r="D37" s="4" t="s">
        <v>72</v>
      </c>
      <c r="E37" s="5">
        <v>118350</v>
      </c>
      <c r="F37" s="4" t="s">
        <v>8</v>
      </c>
      <c r="G37" s="4" t="s">
        <v>740</v>
      </c>
    </row>
    <row r="38" spans="1:10" x14ac:dyDescent="0.25">
      <c r="A38">
        <v>34</v>
      </c>
      <c r="B38" s="4" t="s">
        <v>741</v>
      </c>
      <c r="C38" s="45">
        <v>46055</v>
      </c>
      <c r="D38" s="4" t="s">
        <v>72</v>
      </c>
      <c r="E38" s="5">
        <v>233502</v>
      </c>
      <c r="F38" s="4" t="s">
        <v>8</v>
      </c>
      <c r="G38" s="4" t="s">
        <v>742</v>
      </c>
    </row>
    <row r="39" spans="1:10" x14ac:dyDescent="0.25">
      <c r="C39" s="51" t="s">
        <v>204</v>
      </c>
      <c r="D39" s="51"/>
      <c r="E39" s="22">
        <v>2833680</v>
      </c>
      <c r="G39" s="36">
        <f>E39*15%</f>
        <v>425052</v>
      </c>
    </row>
    <row r="40" spans="1:10" x14ac:dyDescent="0.25">
      <c r="C40" s="58">
        <v>46055</v>
      </c>
      <c r="D40" s="59"/>
      <c r="G40" s="27">
        <v>565000</v>
      </c>
    </row>
    <row r="41" spans="1:10" x14ac:dyDescent="0.25">
      <c r="G41" s="68">
        <f>G39-G40</f>
        <v>-139948</v>
      </c>
      <c r="H41" s="62" t="s">
        <v>612</v>
      </c>
      <c r="I41" s="62"/>
    </row>
    <row r="42" spans="1:10" x14ac:dyDescent="0.25">
      <c r="G42" s="20">
        <v>5910757</v>
      </c>
    </row>
    <row r="43" spans="1:10" x14ac:dyDescent="0.25">
      <c r="G43" s="67">
        <v>5770809</v>
      </c>
      <c r="H43" s="60" t="s">
        <v>477</v>
      </c>
      <c r="I43" s="60"/>
      <c r="J43" s="60"/>
    </row>
  </sheetData>
  <mergeCells count="6">
    <mergeCell ref="C39:D39"/>
    <mergeCell ref="C40:D40"/>
    <mergeCell ref="H41:I41"/>
    <mergeCell ref="H43:J43"/>
    <mergeCell ref="A1:G2"/>
    <mergeCell ref="A3:G3"/>
  </mergeCells>
  <pageMargins left="0.7" right="0.7" top="0.75" bottom="0.75" header="0.3" footer="0.3"/>
  <ignoredErrors>
    <ignoredError sqref="G34:G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 2025</vt:lpstr>
      <vt:lpstr>JAN 2026</vt:lpstr>
      <vt:lpstr>FEB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2026-01-07T09:24:02Z</dcterms:created>
  <dcterms:modified xsi:type="dcterms:W3CDTF">2026-02-02T10:58:19Z</dcterms:modified>
</cp:coreProperties>
</file>